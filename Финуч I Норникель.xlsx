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 filterPrivacy="1"/>
  <xr:revisionPtr revIDLastSave="0" documentId="8_{6327BC84-EC6C-4C77-BC3B-F611FA6F32EC}" xr6:coauthVersionLast="47" xr6:coauthVersionMax="47" xr10:uidLastSave="{00000000-0000-0000-0000-000000000000}"/>
  <bookViews>
    <workbookView xWindow="0" yWindow="760" windowWidth="30240" windowHeight="17440" firstSheet="10" activeTab="10" xr2:uid="{00000000-000D-0000-FFFF-FFFF00000000}"/>
  </bookViews>
  <sheets>
    <sheet name="Финансовый отчет" sheetId="3" state="hidden" r:id="rId1"/>
    <sheet name="Коэффициенты" sheetId="7" r:id="rId2"/>
    <sheet name="Горизонтальный анализ" sheetId="12" r:id="rId3"/>
    <sheet name="Вертикальный анализ" sheetId="13" r:id="rId4"/>
    <sheet name="Норникель" sheetId="1" r:id="rId5"/>
    <sheet name="Vale" sheetId="9" r:id="rId6"/>
    <sheet name="Anglo American Platinum" sheetId="10" r:id="rId7"/>
    <sheet name="Impala Platinum" sheetId="11" r:id="rId8"/>
    <sheet name="Параметры ключевых метрик" sheetId="4" state="hidden" r:id="rId9"/>
    <sheet name="Расчеты" sheetId="2" state="hidden" r:id="rId10"/>
    <sheet name="Построение графиков" sheetId="14" r:id="rId11"/>
  </sheets>
  <definedNames>
    <definedName name="Выбранный_год">'Финансовый отчет'!$K$2</definedName>
    <definedName name="Последние_метрики" localSheetId="6">OFFSET('Anglo American Platinum'!$B$6:$B$23,0,0,COUNTA('Anglo American Platinum'!$B$6:$B$23))</definedName>
    <definedName name="Последние_метрики" localSheetId="7">OFFSET('Impala Platinum'!$B$6:$B$21,0,0,COUNTA('Impala Platinum'!$B$6:$B$21))</definedName>
    <definedName name="Последние_метрики" localSheetId="5">OFFSET(Vale!$B$6:$B$21,0,0,COUNTA(Vale!$B$6:$B$21))</definedName>
    <definedName name="Последние_метрики">OFFSET(Норникель!$B$6:$B$24,0,0,COUNTA(Норникель!$B$6:$B$24))</definedName>
    <definedName name="Прошедшие_годы" localSheetId="6">OFFSET('Anglo American Platinum'!$B$3:$G$3,0,1,1,COUNTA('Anglo American Platinum'!$B$3:$G$3)-1)</definedName>
    <definedName name="Прошедшие_годы" localSheetId="7">OFFSET('Impala Platinum'!$B$3:$F$3,0,1,1,COUNTA('Impala Platinum'!$B$3:$F$3)-1)</definedName>
    <definedName name="Прошедшие_годы" localSheetId="5">OFFSET(Vale!$B$3:$F$3,0,1,1,COUNTA(Vale!$B$3:$F$3)-1)</definedName>
    <definedName name="Прошедшие_годы">OFFSET(Норникель!$B$3:$G$3,0,1,1,COUNTA(Норникель!$B$3:$G$3)-1)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7" l="1"/>
  <c r="G15" i="14"/>
  <c r="H15" i="14"/>
  <c r="I15" i="14"/>
  <c r="G16" i="14"/>
  <c r="H16" i="14"/>
  <c r="I16" i="14"/>
  <c r="G17" i="14"/>
  <c r="H17" i="14"/>
  <c r="I17" i="14"/>
  <c r="G18" i="14"/>
  <c r="H18" i="14"/>
  <c r="I18" i="14"/>
  <c r="F16" i="14"/>
  <c r="F17" i="14"/>
  <c r="F18" i="14"/>
  <c r="F15" i="14"/>
  <c r="N12" i="12"/>
  <c r="I55" i="7"/>
  <c r="J55" i="7"/>
  <c r="K55" i="7"/>
  <c r="H55" i="7"/>
  <c r="D55" i="7"/>
  <c r="E55" i="7"/>
  <c r="F55" i="7"/>
  <c r="C55" i="7"/>
  <c r="I56" i="7"/>
  <c r="J56" i="7"/>
  <c r="K56" i="7"/>
  <c r="H56" i="7"/>
  <c r="D56" i="7"/>
  <c r="E56" i="7"/>
  <c r="E57" i="7" s="1"/>
  <c r="F56" i="7"/>
  <c r="C56" i="7"/>
  <c r="D57" i="7" s="1"/>
  <c r="C51" i="7"/>
  <c r="D51" i="7"/>
  <c r="E51" i="7"/>
  <c r="F51" i="7"/>
  <c r="C52" i="7"/>
  <c r="E52" i="7"/>
  <c r="F52" i="7"/>
  <c r="H51" i="7"/>
  <c r="I51" i="7"/>
  <c r="J51" i="7"/>
  <c r="K51" i="7"/>
  <c r="H52" i="7"/>
  <c r="I52" i="7"/>
  <c r="J52" i="7"/>
  <c r="K52" i="7"/>
  <c r="I10" i="7"/>
  <c r="J10" i="7"/>
  <c r="K10" i="7"/>
  <c r="H10" i="7"/>
  <c r="I7" i="7"/>
  <c r="J7" i="7"/>
  <c r="K7" i="7"/>
  <c r="H7" i="7"/>
  <c r="H17" i="7"/>
  <c r="D7" i="7"/>
  <c r="E7" i="7"/>
  <c r="F7" i="7"/>
  <c r="C7" i="7"/>
  <c r="I6" i="7"/>
  <c r="J6" i="7"/>
  <c r="J8" i="7" s="1"/>
  <c r="K6" i="7"/>
  <c r="K8" i="7" s="1"/>
  <c r="H6" i="7"/>
  <c r="H8" i="7" s="1"/>
  <c r="D6" i="7"/>
  <c r="E6" i="7"/>
  <c r="F6" i="7"/>
  <c r="C6" i="7"/>
  <c r="C10" i="7"/>
  <c r="C37" i="7"/>
  <c r="D37" i="7"/>
  <c r="E37" i="7"/>
  <c r="F37" i="7"/>
  <c r="H37" i="7"/>
  <c r="I37" i="7"/>
  <c r="J37" i="7"/>
  <c r="K37" i="7"/>
  <c r="H9" i="13"/>
  <c r="H10" i="13"/>
  <c r="H12" i="13"/>
  <c r="H13" i="13"/>
  <c r="H14" i="13"/>
  <c r="H15" i="13"/>
  <c r="H17" i="13"/>
  <c r="I9" i="13"/>
  <c r="I10" i="13"/>
  <c r="I12" i="13"/>
  <c r="I13" i="13"/>
  <c r="I14" i="13"/>
  <c r="I15" i="13"/>
  <c r="J9" i="13"/>
  <c r="J10" i="13"/>
  <c r="J12" i="13"/>
  <c r="J13" i="13"/>
  <c r="J14" i="13"/>
  <c r="J15" i="13"/>
  <c r="K9" i="13"/>
  <c r="K10" i="13"/>
  <c r="K12" i="13"/>
  <c r="K13" i="13"/>
  <c r="K14" i="13"/>
  <c r="K15" i="13"/>
  <c r="J13" i="12"/>
  <c r="M6" i="12"/>
  <c r="J6" i="12"/>
  <c r="H18" i="13"/>
  <c r="H19" i="13"/>
  <c r="H7" i="13"/>
  <c r="I7" i="13"/>
  <c r="J7" i="13"/>
  <c r="K7" i="13"/>
  <c r="H8" i="13"/>
  <c r="I8" i="13"/>
  <c r="J8" i="13"/>
  <c r="K8" i="13"/>
  <c r="H11" i="13"/>
  <c r="I11" i="13"/>
  <c r="J11" i="13"/>
  <c r="K11" i="13"/>
  <c r="H16" i="13"/>
  <c r="I16" i="13"/>
  <c r="J16" i="13"/>
  <c r="K16" i="13"/>
  <c r="I17" i="13"/>
  <c r="J17" i="13"/>
  <c r="K17" i="13"/>
  <c r="I18" i="13"/>
  <c r="J18" i="13"/>
  <c r="K18" i="13"/>
  <c r="I19" i="13"/>
  <c r="J19" i="13"/>
  <c r="K19" i="13"/>
  <c r="H20" i="13"/>
  <c r="I20" i="13"/>
  <c r="J20" i="13"/>
  <c r="K20" i="13"/>
  <c r="H21" i="13"/>
  <c r="I21" i="13"/>
  <c r="J21" i="13"/>
  <c r="K21" i="13"/>
  <c r="H22" i="13"/>
  <c r="I22" i="13"/>
  <c r="J22" i="13"/>
  <c r="K22" i="13"/>
  <c r="H23" i="13"/>
  <c r="I23" i="13"/>
  <c r="J23" i="13"/>
  <c r="K23" i="13"/>
  <c r="I6" i="13"/>
  <c r="J6" i="13"/>
  <c r="K6" i="13"/>
  <c r="H6" i="13"/>
  <c r="L66" i="13"/>
  <c r="M66" i="13"/>
  <c r="N66" i="13"/>
  <c r="O66" i="13"/>
  <c r="L69" i="13"/>
  <c r="M69" i="13"/>
  <c r="N69" i="13"/>
  <c r="O69" i="13"/>
  <c r="L70" i="13"/>
  <c r="M70" i="13"/>
  <c r="N70" i="13"/>
  <c r="O70" i="13"/>
  <c r="L71" i="13"/>
  <c r="M71" i="13"/>
  <c r="N71" i="13"/>
  <c r="O71" i="13"/>
  <c r="L72" i="13"/>
  <c r="M72" i="13"/>
  <c r="N72" i="13"/>
  <c r="O72" i="13"/>
  <c r="L73" i="13"/>
  <c r="M73" i="13"/>
  <c r="N73" i="13"/>
  <c r="O73" i="13"/>
  <c r="L74" i="13"/>
  <c r="M74" i="13"/>
  <c r="N74" i="13"/>
  <c r="O74" i="13"/>
  <c r="L75" i="13"/>
  <c r="M75" i="13"/>
  <c r="N75" i="13"/>
  <c r="O75" i="13"/>
  <c r="L76" i="13"/>
  <c r="M76" i="13"/>
  <c r="N76" i="13"/>
  <c r="O76" i="13"/>
  <c r="L77" i="13"/>
  <c r="M77" i="13"/>
  <c r="N77" i="13"/>
  <c r="O77" i="13"/>
  <c r="L78" i="13"/>
  <c r="M78" i="13"/>
  <c r="N78" i="13"/>
  <c r="O78" i="13"/>
  <c r="L79" i="13"/>
  <c r="M79" i="13"/>
  <c r="N79" i="13"/>
  <c r="O79" i="13"/>
  <c r="M68" i="13"/>
  <c r="N68" i="13"/>
  <c r="O68" i="13"/>
  <c r="L68" i="13"/>
  <c r="L59" i="13"/>
  <c r="M59" i="13"/>
  <c r="N59" i="13"/>
  <c r="O59" i="13"/>
  <c r="L60" i="13"/>
  <c r="M60" i="13"/>
  <c r="N60" i="13"/>
  <c r="O60" i="13"/>
  <c r="L61" i="13"/>
  <c r="M61" i="13"/>
  <c r="N61" i="13"/>
  <c r="O61" i="13"/>
  <c r="L62" i="13"/>
  <c r="M62" i="13"/>
  <c r="N62" i="13"/>
  <c r="O62" i="13"/>
  <c r="L63" i="13"/>
  <c r="M63" i="13"/>
  <c r="N63" i="13"/>
  <c r="O63" i="13"/>
  <c r="L64" i="13"/>
  <c r="M64" i="13"/>
  <c r="N64" i="13"/>
  <c r="O64" i="13"/>
  <c r="L65" i="13"/>
  <c r="M65" i="13"/>
  <c r="N65" i="13"/>
  <c r="O65" i="13"/>
  <c r="M58" i="13"/>
  <c r="N58" i="13"/>
  <c r="O58" i="13"/>
  <c r="L58" i="13"/>
  <c r="L52" i="13"/>
  <c r="M52" i="13"/>
  <c r="N52" i="13"/>
  <c r="O52" i="13"/>
  <c r="L53" i="13"/>
  <c r="M53" i="13"/>
  <c r="N53" i="13"/>
  <c r="O53" i="13"/>
  <c r="L54" i="13"/>
  <c r="M54" i="13"/>
  <c r="N54" i="13"/>
  <c r="O54" i="13"/>
  <c r="L55" i="13"/>
  <c r="M55" i="13"/>
  <c r="N55" i="13"/>
  <c r="O55" i="13"/>
  <c r="L56" i="13"/>
  <c r="M56" i="13"/>
  <c r="N56" i="13"/>
  <c r="O56" i="13"/>
  <c r="M51" i="13"/>
  <c r="N51" i="13"/>
  <c r="O51" i="13"/>
  <c r="L51" i="13"/>
  <c r="L39" i="13"/>
  <c r="M39" i="13"/>
  <c r="N39" i="13"/>
  <c r="O39" i="13"/>
  <c r="L40" i="13"/>
  <c r="M40" i="13"/>
  <c r="N40" i="13"/>
  <c r="O40" i="13"/>
  <c r="L41" i="13"/>
  <c r="M41" i="13"/>
  <c r="N41" i="13"/>
  <c r="O41" i="13"/>
  <c r="L42" i="13"/>
  <c r="M42" i="13"/>
  <c r="N42" i="13"/>
  <c r="O42" i="13"/>
  <c r="L43" i="13"/>
  <c r="M43" i="13"/>
  <c r="N43" i="13"/>
  <c r="O43" i="13"/>
  <c r="L44" i="13"/>
  <c r="M44" i="13"/>
  <c r="N44" i="13"/>
  <c r="O44" i="13"/>
  <c r="L45" i="13"/>
  <c r="M45" i="13"/>
  <c r="N45" i="13"/>
  <c r="O45" i="13"/>
  <c r="L46" i="13"/>
  <c r="M46" i="13"/>
  <c r="N46" i="13"/>
  <c r="O46" i="13"/>
  <c r="M38" i="13"/>
  <c r="N38" i="13"/>
  <c r="O38" i="13"/>
  <c r="L38" i="13"/>
  <c r="L31" i="13"/>
  <c r="M31" i="13"/>
  <c r="N31" i="13"/>
  <c r="O31" i="13"/>
  <c r="L32" i="13"/>
  <c r="M32" i="13"/>
  <c r="N32" i="13"/>
  <c r="O32" i="13"/>
  <c r="L33" i="13"/>
  <c r="M33" i="13"/>
  <c r="N33" i="13"/>
  <c r="O33" i="13"/>
  <c r="L34" i="13"/>
  <c r="M34" i="13"/>
  <c r="N34" i="13"/>
  <c r="O34" i="13"/>
  <c r="L35" i="13"/>
  <c r="M35" i="13"/>
  <c r="N35" i="13"/>
  <c r="O35" i="13"/>
  <c r="L36" i="13"/>
  <c r="M36" i="13"/>
  <c r="N36" i="13"/>
  <c r="O36" i="13"/>
  <c r="M30" i="13"/>
  <c r="N30" i="13"/>
  <c r="O30" i="13"/>
  <c r="L30" i="13"/>
  <c r="H52" i="13"/>
  <c r="I52" i="13"/>
  <c r="J52" i="13"/>
  <c r="K52" i="13"/>
  <c r="H53" i="13"/>
  <c r="I53" i="13"/>
  <c r="J53" i="13"/>
  <c r="K53" i="13"/>
  <c r="H54" i="13"/>
  <c r="I54" i="13"/>
  <c r="J54" i="13"/>
  <c r="K54" i="13"/>
  <c r="H55" i="13"/>
  <c r="I55" i="13"/>
  <c r="J55" i="13"/>
  <c r="K55" i="13"/>
  <c r="H56" i="13"/>
  <c r="I56" i="13"/>
  <c r="J56" i="13"/>
  <c r="K56" i="13"/>
  <c r="H58" i="13"/>
  <c r="I58" i="13"/>
  <c r="J58" i="13"/>
  <c r="K58" i="13"/>
  <c r="H59" i="13"/>
  <c r="I59" i="13"/>
  <c r="J59" i="13"/>
  <c r="K59" i="13"/>
  <c r="H60" i="13"/>
  <c r="I60" i="13"/>
  <c r="J60" i="13"/>
  <c r="K60" i="13"/>
  <c r="H61" i="13"/>
  <c r="I61" i="13"/>
  <c r="J61" i="13"/>
  <c r="K61" i="13"/>
  <c r="H62" i="13"/>
  <c r="I62" i="13"/>
  <c r="J62" i="13"/>
  <c r="K62" i="13"/>
  <c r="H63" i="13"/>
  <c r="I63" i="13"/>
  <c r="J63" i="13"/>
  <c r="K63" i="13"/>
  <c r="H64" i="13"/>
  <c r="I64" i="13"/>
  <c r="J64" i="13"/>
  <c r="K64" i="13"/>
  <c r="H65" i="13"/>
  <c r="I65" i="13"/>
  <c r="J65" i="13"/>
  <c r="K65" i="13"/>
  <c r="H66" i="13"/>
  <c r="I66" i="13"/>
  <c r="J66" i="13"/>
  <c r="K66" i="13"/>
  <c r="H68" i="13"/>
  <c r="I68" i="13"/>
  <c r="J68" i="13"/>
  <c r="K68" i="13"/>
  <c r="H69" i="13"/>
  <c r="I69" i="13"/>
  <c r="J69" i="13"/>
  <c r="K69" i="13"/>
  <c r="H70" i="13"/>
  <c r="I70" i="13"/>
  <c r="J70" i="13"/>
  <c r="K70" i="13"/>
  <c r="H71" i="13"/>
  <c r="I71" i="13"/>
  <c r="J71" i="13"/>
  <c r="K71" i="13"/>
  <c r="H72" i="13"/>
  <c r="I72" i="13"/>
  <c r="J72" i="13"/>
  <c r="K72" i="13"/>
  <c r="H73" i="13"/>
  <c r="I73" i="13"/>
  <c r="J73" i="13"/>
  <c r="K73" i="13"/>
  <c r="H74" i="13"/>
  <c r="I74" i="13"/>
  <c r="J74" i="13"/>
  <c r="K74" i="13"/>
  <c r="H75" i="13"/>
  <c r="I75" i="13"/>
  <c r="J75" i="13"/>
  <c r="K75" i="13"/>
  <c r="H76" i="13"/>
  <c r="I76" i="13"/>
  <c r="J76" i="13"/>
  <c r="K76" i="13"/>
  <c r="H77" i="13"/>
  <c r="I77" i="13"/>
  <c r="J77" i="13"/>
  <c r="K77" i="13"/>
  <c r="H78" i="13"/>
  <c r="I78" i="13"/>
  <c r="J78" i="13"/>
  <c r="K78" i="13"/>
  <c r="H79" i="13"/>
  <c r="I79" i="13"/>
  <c r="J79" i="13"/>
  <c r="K79" i="13"/>
  <c r="H80" i="13"/>
  <c r="I80" i="13"/>
  <c r="J80" i="13"/>
  <c r="K80" i="13"/>
  <c r="H81" i="13"/>
  <c r="I81" i="13"/>
  <c r="J81" i="13"/>
  <c r="K81" i="13"/>
  <c r="I51" i="13"/>
  <c r="J51" i="13"/>
  <c r="K51" i="13"/>
  <c r="H51" i="13"/>
  <c r="H38" i="13"/>
  <c r="I38" i="13"/>
  <c r="J38" i="13"/>
  <c r="K38" i="13"/>
  <c r="H39" i="13"/>
  <c r="I39" i="13"/>
  <c r="J39" i="13"/>
  <c r="K39" i="13"/>
  <c r="H40" i="13"/>
  <c r="I40" i="13"/>
  <c r="J40" i="13"/>
  <c r="K40" i="13"/>
  <c r="H41" i="13"/>
  <c r="I41" i="13"/>
  <c r="J41" i="13"/>
  <c r="K41" i="13"/>
  <c r="H42" i="13"/>
  <c r="I42" i="13"/>
  <c r="J42" i="13"/>
  <c r="K42" i="13"/>
  <c r="H43" i="13"/>
  <c r="I43" i="13"/>
  <c r="J43" i="13"/>
  <c r="K43" i="13"/>
  <c r="H44" i="13"/>
  <c r="I44" i="13"/>
  <c r="J44" i="13"/>
  <c r="K44" i="13"/>
  <c r="H45" i="13"/>
  <c r="I45" i="13"/>
  <c r="J45" i="13"/>
  <c r="K45" i="13"/>
  <c r="H46" i="13"/>
  <c r="I46" i="13"/>
  <c r="J46" i="13"/>
  <c r="K46" i="13"/>
  <c r="H47" i="13"/>
  <c r="I47" i="13"/>
  <c r="J47" i="13"/>
  <c r="K47" i="13"/>
  <c r="H31" i="13"/>
  <c r="I31" i="13"/>
  <c r="J31" i="13"/>
  <c r="K31" i="13"/>
  <c r="H32" i="13"/>
  <c r="I32" i="13"/>
  <c r="J32" i="13"/>
  <c r="K32" i="13"/>
  <c r="H33" i="13"/>
  <c r="I33" i="13"/>
  <c r="J33" i="13"/>
  <c r="K33" i="13"/>
  <c r="H34" i="13"/>
  <c r="I34" i="13"/>
  <c r="J34" i="13"/>
  <c r="K34" i="13"/>
  <c r="H35" i="13"/>
  <c r="I35" i="13"/>
  <c r="J35" i="13"/>
  <c r="K35" i="13"/>
  <c r="H36" i="13"/>
  <c r="I36" i="13"/>
  <c r="J36" i="13"/>
  <c r="K36" i="13"/>
  <c r="I30" i="13"/>
  <c r="J30" i="13"/>
  <c r="K30" i="13"/>
  <c r="H30" i="13"/>
  <c r="J7" i="12"/>
  <c r="K7" i="12"/>
  <c r="L7" i="12"/>
  <c r="J8" i="12"/>
  <c r="K8" i="12"/>
  <c r="L8" i="12"/>
  <c r="J9" i="12"/>
  <c r="K9" i="12"/>
  <c r="L9" i="12"/>
  <c r="J10" i="12"/>
  <c r="K10" i="12"/>
  <c r="L10" i="12"/>
  <c r="J11" i="12"/>
  <c r="K11" i="12"/>
  <c r="L11" i="12"/>
  <c r="J12" i="12"/>
  <c r="K12" i="12"/>
  <c r="L12" i="12"/>
  <c r="K13" i="12"/>
  <c r="L13" i="12"/>
  <c r="J14" i="12"/>
  <c r="K14" i="12"/>
  <c r="L14" i="12"/>
  <c r="J15" i="12"/>
  <c r="K15" i="12"/>
  <c r="L15" i="12"/>
  <c r="J16" i="12"/>
  <c r="K16" i="12"/>
  <c r="L16" i="12"/>
  <c r="J17" i="12"/>
  <c r="K17" i="12"/>
  <c r="L17" i="12"/>
  <c r="J18" i="12"/>
  <c r="K18" i="12"/>
  <c r="L18" i="12"/>
  <c r="J19" i="12"/>
  <c r="K19" i="12"/>
  <c r="L19" i="12"/>
  <c r="J20" i="12"/>
  <c r="K20" i="12"/>
  <c r="L20" i="12"/>
  <c r="J21" i="12"/>
  <c r="K21" i="12"/>
  <c r="L21" i="12"/>
  <c r="J22" i="12"/>
  <c r="K22" i="12"/>
  <c r="L22" i="12"/>
  <c r="J23" i="12"/>
  <c r="K23" i="12"/>
  <c r="L23" i="12"/>
  <c r="J30" i="12"/>
  <c r="K30" i="12"/>
  <c r="L30" i="12"/>
  <c r="J31" i="12"/>
  <c r="K31" i="12"/>
  <c r="L31" i="12"/>
  <c r="K32" i="12"/>
  <c r="L32" i="12"/>
  <c r="J33" i="12"/>
  <c r="K33" i="12"/>
  <c r="L33" i="12"/>
  <c r="J34" i="12"/>
  <c r="K34" i="12"/>
  <c r="L34" i="12"/>
  <c r="J35" i="12"/>
  <c r="K35" i="12"/>
  <c r="L35" i="12"/>
  <c r="J36" i="12"/>
  <c r="K36" i="12"/>
  <c r="L36" i="12"/>
  <c r="J38" i="12"/>
  <c r="K38" i="12"/>
  <c r="L38" i="12"/>
  <c r="J39" i="12"/>
  <c r="K39" i="12"/>
  <c r="L39" i="12"/>
  <c r="J40" i="12"/>
  <c r="K40" i="12"/>
  <c r="L40" i="12"/>
  <c r="J41" i="12"/>
  <c r="K41" i="12"/>
  <c r="L41" i="12"/>
  <c r="J42" i="12"/>
  <c r="K42" i="12"/>
  <c r="L42" i="12"/>
  <c r="J43" i="12"/>
  <c r="K43" i="12"/>
  <c r="L43" i="12"/>
  <c r="J44" i="12"/>
  <c r="K44" i="12"/>
  <c r="L44" i="12"/>
  <c r="J45" i="12"/>
  <c r="K45" i="12"/>
  <c r="L45" i="12"/>
  <c r="J46" i="12"/>
  <c r="K46" i="12"/>
  <c r="L46" i="12"/>
  <c r="J47" i="12"/>
  <c r="K47" i="12"/>
  <c r="L47" i="12"/>
  <c r="J51" i="12"/>
  <c r="K51" i="12"/>
  <c r="L51" i="12"/>
  <c r="J52" i="12"/>
  <c r="K52" i="12"/>
  <c r="L52" i="12"/>
  <c r="J53" i="12"/>
  <c r="J54" i="12"/>
  <c r="K54" i="12"/>
  <c r="L54" i="12"/>
  <c r="J55" i="12"/>
  <c r="K55" i="12"/>
  <c r="L55" i="12"/>
  <c r="J56" i="12"/>
  <c r="K56" i="12"/>
  <c r="L56" i="12"/>
  <c r="J58" i="12"/>
  <c r="K58" i="12"/>
  <c r="L58" i="12"/>
  <c r="J59" i="12"/>
  <c r="K59" i="12"/>
  <c r="L59" i="12"/>
  <c r="J60" i="12"/>
  <c r="K60" i="12"/>
  <c r="L60" i="12"/>
  <c r="J61" i="12"/>
  <c r="K61" i="12"/>
  <c r="L61" i="12"/>
  <c r="J62" i="12"/>
  <c r="K62" i="12"/>
  <c r="L62" i="12"/>
  <c r="J63" i="12"/>
  <c r="K63" i="12"/>
  <c r="J64" i="12"/>
  <c r="K64" i="12"/>
  <c r="L64" i="12"/>
  <c r="J65" i="12"/>
  <c r="K65" i="12"/>
  <c r="L65" i="12"/>
  <c r="J66" i="12"/>
  <c r="K66" i="12"/>
  <c r="L66" i="12"/>
  <c r="J68" i="12"/>
  <c r="K68" i="12"/>
  <c r="L68" i="12"/>
  <c r="J69" i="12"/>
  <c r="K69" i="12"/>
  <c r="L69" i="12"/>
  <c r="J70" i="12"/>
  <c r="K70" i="12"/>
  <c r="L70" i="12"/>
  <c r="J71" i="12"/>
  <c r="K71" i="12"/>
  <c r="L71" i="12"/>
  <c r="J72" i="12"/>
  <c r="K72" i="12"/>
  <c r="L72" i="12"/>
  <c r="K73" i="12"/>
  <c r="L73" i="12"/>
  <c r="J74" i="12"/>
  <c r="K74" i="12"/>
  <c r="L74" i="12"/>
  <c r="J75" i="12"/>
  <c r="L75" i="12"/>
  <c r="J76" i="12"/>
  <c r="K76" i="12"/>
  <c r="L76" i="12"/>
  <c r="J77" i="12"/>
  <c r="K77" i="12"/>
  <c r="L77" i="12"/>
  <c r="J78" i="12"/>
  <c r="J79" i="12"/>
  <c r="K79" i="12"/>
  <c r="L79" i="12"/>
  <c r="J80" i="12"/>
  <c r="K80" i="12"/>
  <c r="L80" i="12"/>
  <c r="J81" i="12"/>
  <c r="K81" i="12"/>
  <c r="L81" i="12"/>
  <c r="K6" i="12"/>
  <c r="L6" i="12"/>
  <c r="M69" i="12"/>
  <c r="O71" i="12"/>
  <c r="O72" i="12"/>
  <c r="O75" i="12"/>
  <c r="M77" i="12"/>
  <c r="O79" i="12"/>
  <c r="O51" i="12"/>
  <c r="O31" i="12"/>
  <c r="O33" i="12"/>
  <c r="O23" i="12"/>
  <c r="O8" i="12"/>
  <c r="M9" i="12"/>
  <c r="G69" i="12"/>
  <c r="H69" i="12"/>
  <c r="N69" i="12" s="1"/>
  <c r="I69" i="12"/>
  <c r="O69" i="12" s="1"/>
  <c r="G70" i="12"/>
  <c r="M70" i="12" s="1"/>
  <c r="H70" i="12"/>
  <c r="N70" i="12" s="1"/>
  <c r="I70" i="12"/>
  <c r="O70" i="12" s="1"/>
  <c r="G71" i="12"/>
  <c r="M71" i="12" s="1"/>
  <c r="H71" i="12"/>
  <c r="N71" i="12" s="1"/>
  <c r="I71" i="12"/>
  <c r="G72" i="12"/>
  <c r="M72" i="12" s="1"/>
  <c r="H72" i="12"/>
  <c r="N72" i="12" s="1"/>
  <c r="I72" i="12"/>
  <c r="G73" i="12"/>
  <c r="H73" i="12"/>
  <c r="N73" i="12" s="1"/>
  <c r="I73" i="12"/>
  <c r="O73" i="12" s="1"/>
  <c r="G74" i="12"/>
  <c r="M74" i="12" s="1"/>
  <c r="H74" i="12"/>
  <c r="N74" i="12" s="1"/>
  <c r="I74" i="12"/>
  <c r="O74" i="12" s="1"/>
  <c r="G75" i="12"/>
  <c r="M75" i="12" s="1"/>
  <c r="H75" i="12"/>
  <c r="I75" i="12"/>
  <c r="G76" i="12"/>
  <c r="M76" i="12" s="1"/>
  <c r="H76" i="12"/>
  <c r="N76" i="12" s="1"/>
  <c r="I76" i="12"/>
  <c r="O76" i="12" s="1"/>
  <c r="G77" i="12"/>
  <c r="H77" i="12"/>
  <c r="N77" i="12" s="1"/>
  <c r="I77" i="12"/>
  <c r="O77" i="12" s="1"/>
  <c r="G78" i="12"/>
  <c r="M78" i="12" s="1"/>
  <c r="H78" i="12"/>
  <c r="I78" i="12"/>
  <c r="G79" i="12"/>
  <c r="M79" i="12" s="1"/>
  <c r="H79" i="12"/>
  <c r="N79" i="12" s="1"/>
  <c r="I79" i="12"/>
  <c r="G80" i="12"/>
  <c r="M80" i="12" s="1"/>
  <c r="H80" i="12"/>
  <c r="N80" i="12" s="1"/>
  <c r="I80" i="12"/>
  <c r="O80" i="12" s="1"/>
  <c r="G81" i="12"/>
  <c r="M81" i="12" s="1"/>
  <c r="H81" i="12"/>
  <c r="N81" i="12" s="1"/>
  <c r="I81" i="12"/>
  <c r="O81" i="12" s="1"/>
  <c r="I68" i="12"/>
  <c r="O68" i="12" s="1"/>
  <c r="H68" i="12"/>
  <c r="N68" i="12" s="1"/>
  <c r="G68" i="12"/>
  <c r="M68" i="12" s="1"/>
  <c r="G59" i="12"/>
  <c r="M59" i="12" s="1"/>
  <c r="H59" i="12"/>
  <c r="N59" i="12" s="1"/>
  <c r="I59" i="12"/>
  <c r="O59" i="12" s="1"/>
  <c r="G60" i="12"/>
  <c r="M60" i="12" s="1"/>
  <c r="H60" i="12"/>
  <c r="N60" i="12" s="1"/>
  <c r="I60" i="12"/>
  <c r="O60" i="12" s="1"/>
  <c r="G61" i="12"/>
  <c r="M61" i="12" s="1"/>
  <c r="H61" i="12"/>
  <c r="N61" i="12" s="1"/>
  <c r="I61" i="12"/>
  <c r="O61" i="12" s="1"/>
  <c r="G62" i="12"/>
  <c r="M62" i="12" s="1"/>
  <c r="H62" i="12"/>
  <c r="N62" i="12" s="1"/>
  <c r="I62" i="12"/>
  <c r="O62" i="12" s="1"/>
  <c r="G63" i="12"/>
  <c r="M63" i="12" s="1"/>
  <c r="H63" i="12"/>
  <c r="N63" i="12" s="1"/>
  <c r="I63" i="12"/>
  <c r="G64" i="12"/>
  <c r="M64" i="12" s="1"/>
  <c r="H64" i="12"/>
  <c r="N64" i="12" s="1"/>
  <c r="I64" i="12"/>
  <c r="O64" i="12" s="1"/>
  <c r="G65" i="12"/>
  <c r="M65" i="12" s="1"/>
  <c r="H65" i="12"/>
  <c r="N65" i="12" s="1"/>
  <c r="I65" i="12"/>
  <c r="O65" i="12" s="1"/>
  <c r="G66" i="12"/>
  <c r="M66" i="12" s="1"/>
  <c r="H66" i="12"/>
  <c r="N66" i="12" s="1"/>
  <c r="I66" i="12"/>
  <c r="O66" i="12" s="1"/>
  <c r="H58" i="12"/>
  <c r="N58" i="12" s="1"/>
  <c r="I58" i="12"/>
  <c r="O58" i="12" s="1"/>
  <c r="G58" i="12"/>
  <c r="M58" i="12" s="1"/>
  <c r="G31" i="12"/>
  <c r="M31" i="12" s="1"/>
  <c r="H31" i="12"/>
  <c r="N31" i="12" s="1"/>
  <c r="I31" i="12"/>
  <c r="G32" i="12"/>
  <c r="H32" i="12"/>
  <c r="N32" i="12" s="1"/>
  <c r="I32" i="12"/>
  <c r="O32" i="12" s="1"/>
  <c r="G33" i="12"/>
  <c r="M33" i="12" s="1"/>
  <c r="H33" i="12"/>
  <c r="N33" i="12" s="1"/>
  <c r="I33" i="12"/>
  <c r="G34" i="12"/>
  <c r="M34" i="12" s="1"/>
  <c r="H34" i="12"/>
  <c r="N34" i="12" s="1"/>
  <c r="I34" i="12"/>
  <c r="O34" i="12" s="1"/>
  <c r="G35" i="12"/>
  <c r="M35" i="12" s="1"/>
  <c r="H35" i="12"/>
  <c r="N35" i="12" s="1"/>
  <c r="I35" i="12"/>
  <c r="O35" i="12" s="1"/>
  <c r="G36" i="12"/>
  <c r="M36" i="12" s="1"/>
  <c r="H36" i="12"/>
  <c r="N36" i="12" s="1"/>
  <c r="I36" i="12"/>
  <c r="O36" i="12" s="1"/>
  <c r="G38" i="12"/>
  <c r="M38" i="12" s="1"/>
  <c r="H38" i="12"/>
  <c r="N38" i="12" s="1"/>
  <c r="I38" i="12"/>
  <c r="O38" i="12" s="1"/>
  <c r="G39" i="12"/>
  <c r="M39" i="12" s="1"/>
  <c r="H39" i="12"/>
  <c r="N39" i="12" s="1"/>
  <c r="I39" i="12"/>
  <c r="O39" i="12" s="1"/>
  <c r="G40" i="12"/>
  <c r="M40" i="12" s="1"/>
  <c r="H40" i="12"/>
  <c r="N40" i="12" s="1"/>
  <c r="I40" i="12"/>
  <c r="O40" i="12" s="1"/>
  <c r="G41" i="12"/>
  <c r="M41" i="12" s="1"/>
  <c r="H41" i="12"/>
  <c r="N41" i="12" s="1"/>
  <c r="I41" i="12"/>
  <c r="O41" i="12" s="1"/>
  <c r="G42" i="12"/>
  <c r="M42" i="12" s="1"/>
  <c r="H42" i="12"/>
  <c r="N42" i="12" s="1"/>
  <c r="I42" i="12"/>
  <c r="O42" i="12" s="1"/>
  <c r="G43" i="12"/>
  <c r="M43" i="12" s="1"/>
  <c r="H43" i="12"/>
  <c r="N43" i="12" s="1"/>
  <c r="I43" i="12"/>
  <c r="O43" i="12" s="1"/>
  <c r="G44" i="12"/>
  <c r="M44" i="12" s="1"/>
  <c r="H44" i="12"/>
  <c r="N44" i="12" s="1"/>
  <c r="I44" i="12"/>
  <c r="O44" i="12" s="1"/>
  <c r="G45" i="12"/>
  <c r="M45" i="12" s="1"/>
  <c r="H45" i="12"/>
  <c r="N45" i="12" s="1"/>
  <c r="I45" i="12"/>
  <c r="O45" i="12" s="1"/>
  <c r="G46" i="12"/>
  <c r="M46" i="12" s="1"/>
  <c r="H46" i="12"/>
  <c r="N46" i="12" s="1"/>
  <c r="I46" i="12"/>
  <c r="O46" i="12" s="1"/>
  <c r="G47" i="12"/>
  <c r="M47" i="12" s="1"/>
  <c r="H47" i="12"/>
  <c r="N47" i="12" s="1"/>
  <c r="I47" i="12"/>
  <c r="O47" i="12" s="1"/>
  <c r="G51" i="12"/>
  <c r="M51" i="12" s="1"/>
  <c r="H51" i="12"/>
  <c r="N51" i="12" s="1"/>
  <c r="I51" i="12"/>
  <c r="G52" i="12"/>
  <c r="M52" i="12" s="1"/>
  <c r="H52" i="12"/>
  <c r="N52" i="12" s="1"/>
  <c r="I52" i="12"/>
  <c r="O52" i="12" s="1"/>
  <c r="G53" i="12"/>
  <c r="H53" i="12"/>
  <c r="I53" i="12"/>
  <c r="G54" i="12"/>
  <c r="M54" i="12" s="1"/>
  <c r="H54" i="12"/>
  <c r="N54" i="12" s="1"/>
  <c r="I54" i="12"/>
  <c r="O54" i="12" s="1"/>
  <c r="G55" i="12"/>
  <c r="M55" i="12" s="1"/>
  <c r="H55" i="12"/>
  <c r="N55" i="12" s="1"/>
  <c r="I55" i="12"/>
  <c r="O55" i="12" s="1"/>
  <c r="G56" i="12"/>
  <c r="M56" i="12" s="1"/>
  <c r="H56" i="12"/>
  <c r="N56" i="12" s="1"/>
  <c r="I56" i="12"/>
  <c r="O56" i="12" s="1"/>
  <c r="H30" i="12"/>
  <c r="N30" i="12" s="1"/>
  <c r="I30" i="12"/>
  <c r="O30" i="12" s="1"/>
  <c r="G30" i="12"/>
  <c r="M30" i="12" s="1"/>
  <c r="G7" i="12"/>
  <c r="M7" i="12" s="1"/>
  <c r="H7" i="12"/>
  <c r="N7" i="12" s="1"/>
  <c r="I7" i="12"/>
  <c r="O7" i="12" s="1"/>
  <c r="G8" i="12"/>
  <c r="M8" i="12" s="1"/>
  <c r="H8" i="12"/>
  <c r="N8" i="12" s="1"/>
  <c r="I8" i="12"/>
  <c r="G9" i="12"/>
  <c r="H9" i="12"/>
  <c r="N9" i="12" s="1"/>
  <c r="I9" i="12"/>
  <c r="O9" i="12" s="1"/>
  <c r="G10" i="12"/>
  <c r="M10" i="12" s="1"/>
  <c r="H10" i="12"/>
  <c r="N10" i="12" s="1"/>
  <c r="I10" i="12"/>
  <c r="O10" i="12" s="1"/>
  <c r="G11" i="12"/>
  <c r="M11" i="12" s="1"/>
  <c r="H11" i="12"/>
  <c r="N11" i="12" s="1"/>
  <c r="I11" i="12"/>
  <c r="O11" i="12" s="1"/>
  <c r="G12" i="12"/>
  <c r="M12" i="12" s="1"/>
  <c r="H12" i="12"/>
  <c r="I12" i="12"/>
  <c r="O12" i="12" s="1"/>
  <c r="G13" i="12"/>
  <c r="M13" i="12" s="1"/>
  <c r="H13" i="12"/>
  <c r="N13" i="12" s="1"/>
  <c r="I13" i="12"/>
  <c r="O13" i="12" s="1"/>
  <c r="G14" i="12"/>
  <c r="M14" i="12" s="1"/>
  <c r="H14" i="12"/>
  <c r="N14" i="12" s="1"/>
  <c r="I14" i="12"/>
  <c r="O14" i="12" s="1"/>
  <c r="G15" i="12"/>
  <c r="M15" i="12" s="1"/>
  <c r="H15" i="12"/>
  <c r="N15" i="12" s="1"/>
  <c r="I15" i="12"/>
  <c r="O15" i="12" s="1"/>
  <c r="G16" i="12"/>
  <c r="M16" i="12" s="1"/>
  <c r="H16" i="12"/>
  <c r="N16" i="12" s="1"/>
  <c r="I16" i="12"/>
  <c r="O16" i="12" s="1"/>
  <c r="G17" i="12"/>
  <c r="M17" i="12" s="1"/>
  <c r="H17" i="12"/>
  <c r="N17" i="12" s="1"/>
  <c r="I17" i="12"/>
  <c r="O17" i="12" s="1"/>
  <c r="G18" i="12"/>
  <c r="M18" i="12" s="1"/>
  <c r="H18" i="12"/>
  <c r="N18" i="12" s="1"/>
  <c r="I18" i="12"/>
  <c r="O18" i="12" s="1"/>
  <c r="G19" i="12"/>
  <c r="M19" i="12" s="1"/>
  <c r="H19" i="12"/>
  <c r="N19" i="12" s="1"/>
  <c r="I19" i="12"/>
  <c r="O19" i="12" s="1"/>
  <c r="G20" i="12"/>
  <c r="M20" i="12" s="1"/>
  <c r="H20" i="12"/>
  <c r="N20" i="12" s="1"/>
  <c r="I20" i="12"/>
  <c r="O20" i="12" s="1"/>
  <c r="G21" i="12"/>
  <c r="M21" i="12" s="1"/>
  <c r="H21" i="12"/>
  <c r="N21" i="12" s="1"/>
  <c r="I21" i="12"/>
  <c r="O21" i="12" s="1"/>
  <c r="G22" i="12"/>
  <c r="M22" i="12" s="1"/>
  <c r="H22" i="12"/>
  <c r="N22" i="12" s="1"/>
  <c r="I22" i="12"/>
  <c r="O22" i="12" s="1"/>
  <c r="G23" i="12"/>
  <c r="M23" i="12" s="1"/>
  <c r="H23" i="12"/>
  <c r="N23" i="12" s="1"/>
  <c r="I23" i="12"/>
  <c r="H6" i="12"/>
  <c r="N6" i="12" s="1"/>
  <c r="I6" i="12"/>
  <c r="O6" i="12" s="1"/>
  <c r="G6" i="12"/>
  <c r="L91" i="10"/>
  <c r="K91" i="10"/>
  <c r="J91" i="10"/>
  <c r="I91" i="10"/>
  <c r="J90" i="10"/>
  <c r="I90" i="10"/>
  <c r="L89" i="10"/>
  <c r="J89" i="10"/>
  <c r="L88" i="10"/>
  <c r="K88" i="10"/>
  <c r="J88" i="10"/>
  <c r="I88" i="10"/>
  <c r="L87" i="10"/>
  <c r="K87" i="10"/>
  <c r="J87" i="10"/>
  <c r="I87" i="10"/>
  <c r="L86" i="10"/>
  <c r="K86" i="10"/>
  <c r="J86" i="10"/>
  <c r="I86" i="10"/>
  <c r="L85" i="10"/>
  <c r="K85" i="10"/>
  <c r="J85" i="10"/>
  <c r="I85" i="10"/>
  <c r="L84" i="10"/>
  <c r="K84" i="10"/>
  <c r="J84" i="10"/>
  <c r="I84" i="10"/>
  <c r="L83" i="10"/>
  <c r="K83" i="10"/>
  <c r="J83" i="10"/>
  <c r="I83" i="10"/>
  <c r="L82" i="10"/>
  <c r="P31" i="7" s="1"/>
  <c r="K82" i="10"/>
  <c r="O31" i="7" s="1"/>
  <c r="J82" i="10"/>
  <c r="N31" i="7" s="1"/>
  <c r="I82" i="10"/>
  <c r="M31" i="7" s="1"/>
  <c r="L81" i="10"/>
  <c r="P17" i="7" s="1"/>
  <c r="K81" i="10"/>
  <c r="O7" i="7" s="1"/>
  <c r="J81" i="10"/>
  <c r="N7" i="7" s="1"/>
  <c r="I81" i="10"/>
  <c r="M7" i="7" s="1"/>
  <c r="L80" i="10"/>
  <c r="P67" i="7" s="1"/>
  <c r="K80" i="10"/>
  <c r="J80" i="10"/>
  <c r="N67" i="7" s="1"/>
  <c r="I80" i="10"/>
  <c r="M67" i="7" s="1"/>
  <c r="J79" i="10"/>
  <c r="I79" i="10"/>
  <c r="J78" i="10"/>
  <c r="I78" i="10"/>
  <c r="L77" i="10"/>
  <c r="K77" i="10"/>
  <c r="J77" i="10"/>
  <c r="I77" i="10"/>
  <c r="L76" i="10"/>
  <c r="K76" i="10"/>
  <c r="J76" i="10"/>
  <c r="I76" i="10"/>
  <c r="L75" i="10"/>
  <c r="K75" i="10"/>
  <c r="J75" i="10"/>
  <c r="I75" i="10"/>
  <c r="L74" i="10"/>
  <c r="K74" i="10"/>
  <c r="J74" i="10"/>
  <c r="I74" i="10"/>
  <c r="L73" i="10"/>
  <c r="K73" i="10"/>
  <c r="J73" i="10"/>
  <c r="I73" i="10"/>
  <c r="L72" i="10"/>
  <c r="P49" i="7" s="1"/>
  <c r="K72" i="10"/>
  <c r="O49" i="7" s="1"/>
  <c r="J72" i="10"/>
  <c r="N49" i="7" s="1"/>
  <c r="I72" i="10"/>
  <c r="M49" i="7" s="1"/>
  <c r="L71" i="10"/>
  <c r="K71" i="10"/>
  <c r="J71" i="10"/>
  <c r="I71" i="10"/>
  <c r="L70" i="10"/>
  <c r="K70" i="10"/>
  <c r="J70" i="10"/>
  <c r="I70" i="10"/>
  <c r="L69" i="10"/>
  <c r="K69" i="10"/>
  <c r="J69" i="10"/>
  <c r="I69" i="10"/>
  <c r="L68" i="10"/>
  <c r="K68" i="10"/>
  <c r="J68" i="10"/>
  <c r="I68" i="10"/>
  <c r="L67" i="10"/>
  <c r="K67" i="10"/>
  <c r="J67" i="10"/>
  <c r="I67" i="10"/>
  <c r="L66" i="10"/>
  <c r="K66" i="10"/>
  <c r="J66" i="10"/>
  <c r="I66" i="10"/>
  <c r="L63" i="10"/>
  <c r="P52" i="7" s="1"/>
  <c r="K63" i="10"/>
  <c r="O56" i="7" s="1"/>
  <c r="J63" i="10"/>
  <c r="N56" i="7" s="1"/>
  <c r="I63" i="10"/>
  <c r="M52" i="7" s="1"/>
  <c r="L62" i="10"/>
  <c r="P6" i="7" s="1"/>
  <c r="K62" i="10"/>
  <c r="O15" i="7" s="1"/>
  <c r="J62" i="10"/>
  <c r="N9" i="7" s="1"/>
  <c r="I62" i="10"/>
  <c r="M15" i="7" s="1"/>
  <c r="L61" i="10"/>
  <c r="K61" i="10"/>
  <c r="J61" i="10"/>
  <c r="I61" i="10"/>
  <c r="L60" i="10"/>
  <c r="P11" i="7" s="1"/>
  <c r="K60" i="10"/>
  <c r="O11" i="7" s="1"/>
  <c r="J60" i="10"/>
  <c r="I60" i="10"/>
  <c r="M11" i="7" s="1"/>
  <c r="L59" i="10"/>
  <c r="K59" i="10"/>
  <c r="J59" i="10"/>
  <c r="I59" i="10"/>
  <c r="L58" i="10"/>
  <c r="P21" i="7" s="1"/>
  <c r="P22" i="7" s="1"/>
  <c r="K58" i="10"/>
  <c r="O21" i="7" s="1"/>
  <c r="O22" i="7" s="1"/>
  <c r="J58" i="10"/>
  <c r="N21" i="7" s="1"/>
  <c r="N22" i="7" s="1"/>
  <c r="I58" i="10"/>
  <c r="M21" i="7" s="1"/>
  <c r="M22" i="7" s="1"/>
  <c r="M23" i="7" s="1"/>
  <c r="L57" i="10"/>
  <c r="P16" i="7" s="1"/>
  <c r="K57" i="10"/>
  <c r="O27" i="7" s="1"/>
  <c r="J57" i="10"/>
  <c r="N27" i="7" s="1"/>
  <c r="I57" i="10"/>
  <c r="M16" i="7" s="1"/>
  <c r="L56" i="10"/>
  <c r="K56" i="10"/>
  <c r="J56" i="10"/>
  <c r="I56" i="10"/>
  <c r="L55" i="10"/>
  <c r="K55" i="10"/>
  <c r="J55" i="10"/>
  <c r="I55" i="10"/>
  <c r="L54" i="10"/>
  <c r="K54" i="10"/>
  <c r="J54" i="10"/>
  <c r="I54" i="10"/>
  <c r="K53" i="10"/>
  <c r="J53" i="10"/>
  <c r="I53" i="10"/>
  <c r="L52" i="10"/>
  <c r="K52" i="10"/>
  <c r="J52" i="10"/>
  <c r="L51" i="10"/>
  <c r="K51" i="10"/>
  <c r="J51" i="10"/>
  <c r="I51" i="10"/>
  <c r="L50" i="10"/>
  <c r="K50" i="10"/>
  <c r="J50" i="10"/>
  <c r="I50" i="10"/>
  <c r="L49" i="10"/>
  <c r="K49" i="10"/>
  <c r="J49" i="10"/>
  <c r="I49" i="10"/>
  <c r="L48" i="10"/>
  <c r="K48" i="10"/>
  <c r="J48" i="10"/>
  <c r="I48" i="10"/>
  <c r="L47" i="10"/>
  <c r="K47" i="10"/>
  <c r="J47" i="10"/>
  <c r="I47" i="10"/>
  <c r="L46" i="10"/>
  <c r="K46" i="10"/>
  <c r="J46" i="10"/>
  <c r="I46" i="10"/>
  <c r="L45" i="10"/>
  <c r="K45" i="10"/>
  <c r="J45" i="10"/>
  <c r="I45" i="10"/>
  <c r="L37" i="10"/>
  <c r="K37" i="10"/>
  <c r="J37" i="10"/>
  <c r="I37" i="10"/>
  <c r="L36" i="10"/>
  <c r="K36" i="10"/>
  <c r="J36" i="10"/>
  <c r="I36" i="10"/>
  <c r="L35" i="10"/>
  <c r="K35" i="10"/>
  <c r="J35" i="10"/>
  <c r="I35" i="10"/>
  <c r="L34" i="10"/>
  <c r="K34" i="10"/>
  <c r="J34" i="10"/>
  <c r="I34" i="10"/>
  <c r="L32" i="10"/>
  <c r="K32" i="10"/>
  <c r="J32" i="10"/>
  <c r="I32" i="10"/>
  <c r="L31" i="10"/>
  <c r="K31" i="10"/>
  <c r="J31" i="10"/>
  <c r="I31" i="10"/>
  <c r="L30" i="10"/>
  <c r="K30" i="10"/>
  <c r="J30" i="10"/>
  <c r="I30" i="10"/>
  <c r="L29" i="10"/>
  <c r="K29" i="10"/>
  <c r="J29" i="10"/>
  <c r="I29" i="10"/>
  <c r="L23" i="10"/>
  <c r="P51" i="7" s="1"/>
  <c r="K23" i="10"/>
  <c r="O51" i="7" s="1"/>
  <c r="J23" i="10"/>
  <c r="N51" i="7" s="1"/>
  <c r="I23" i="10"/>
  <c r="M51" i="7" s="1"/>
  <c r="L22" i="10"/>
  <c r="K22" i="10"/>
  <c r="J22" i="10"/>
  <c r="I22" i="10"/>
  <c r="L21" i="10"/>
  <c r="P71" i="7" s="1"/>
  <c r="K21" i="10"/>
  <c r="O71" i="7" s="1"/>
  <c r="J21" i="10"/>
  <c r="N71" i="7" s="1"/>
  <c r="I21" i="10"/>
  <c r="M71" i="7" s="1"/>
  <c r="L20" i="10"/>
  <c r="K20" i="10"/>
  <c r="J20" i="10"/>
  <c r="I20" i="10"/>
  <c r="L19" i="10"/>
  <c r="K19" i="10"/>
  <c r="J19" i="10"/>
  <c r="I19" i="10"/>
  <c r="L18" i="10"/>
  <c r="K18" i="10"/>
  <c r="J18" i="10"/>
  <c r="I18" i="10"/>
  <c r="L17" i="10"/>
  <c r="K17" i="10"/>
  <c r="J17" i="10"/>
  <c r="I17" i="10"/>
  <c r="L16" i="10"/>
  <c r="P73" i="7" s="1"/>
  <c r="K16" i="10"/>
  <c r="O73" i="7" s="1"/>
  <c r="J16" i="10"/>
  <c r="N73" i="7" s="1"/>
  <c r="I16" i="10"/>
  <c r="M73" i="7" s="1"/>
  <c r="L15" i="10"/>
  <c r="K15" i="10"/>
  <c r="J15" i="10"/>
  <c r="I15" i="10"/>
  <c r="L14" i="10"/>
  <c r="K14" i="10"/>
  <c r="J14" i="10"/>
  <c r="I14" i="10"/>
  <c r="L13" i="10"/>
  <c r="K13" i="10"/>
  <c r="J13" i="10"/>
  <c r="I13" i="10"/>
  <c r="I12" i="10"/>
  <c r="L11" i="10"/>
  <c r="P72" i="7" s="1"/>
  <c r="K11" i="10"/>
  <c r="O72" i="7" s="1"/>
  <c r="J11" i="10"/>
  <c r="N72" i="7" s="1"/>
  <c r="I11" i="10"/>
  <c r="M72" i="7" s="1"/>
  <c r="L10" i="10"/>
  <c r="P42" i="7" s="1"/>
  <c r="K10" i="10"/>
  <c r="O42" i="7" s="1"/>
  <c r="J10" i="10"/>
  <c r="N42" i="7" s="1"/>
  <c r="I10" i="10"/>
  <c r="M42" i="7" s="1"/>
  <c r="L9" i="10"/>
  <c r="P32" i="7" s="1"/>
  <c r="K9" i="10"/>
  <c r="O26" i="7" s="1"/>
  <c r="J9" i="10"/>
  <c r="N26" i="7" s="1"/>
  <c r="I9" i="10"/>
  <c r="M32" i="7" s="1"/>
  <c r="L8" i="10"/>
  <c r="P43" i="7" s="1"/>
  <c r="K8" i="10"/>
  <c r="O43" i="7" s="1"/>
  <c r="J8" i="10"/>
  <c r="N43" i="7" s="1"/>
  <c r="I8" i="10"/>
  <c r="M43" i="7" s="1"/>
  <c r="L7" i="10"/>
  <c r="K7" i="10"/>
  <c r="J7" i="10"/>
  <c r="I7" i="10"/>
  <c r="L6" i="10"/>
  <c r="K6" i="10"/>
  <c r="J6" i="10"/>
  <c r="I6" i="10"/>
  <c r="L47" i="11"/>
  <c r="L48" i="11"/>
  <c r="L49" i="11"/>
  <c r="L50" i="11"/>
  <c r="L51" i="11"/>
  <c r="L52" i="11"/>
  <c r="L53" i="11"/>
  <c r="L54" i="11"/>
  <c r="L56" i="11"/>
  <c r="U27" i="7" s="1"/>
  <c r="L57" i="11"/>
  <c r="U21" i="7" s="1"/>
  <c r="U22" i="7" s="1"/>
  <c r="L58" i="11"/>
  <c r="U11" i="7" s="1"/>
  <c r="L59" i="11"/>
  <c r="L60" i="11"/>
  <c r="U10" i="7" s="1"/>
  <c r="L61" i="11"/>
  <c r="L62" i="11"/>
  <c r="U6" i="7" s="1"/>
  <c r="L63" i="11"/>
  <c r="U65" i="7" s="1"/>
  <c r="L66" i="11"/>
  <c r="U68" i="7" s="1"/>
  <c r="L67" i="11"/>
  <c r="L68" i="11"/>
  <c r="L69" i="11"/>
  <c r="L70" i="11"/>
  <c r="L71" i="11"/>
  <c r="L72" i="11"/>
  <c r="L73" i="11"/>
  <c r="L75" i="11"/>
  <c r="L76" i="11"/>
  <c r="L77" i="11"/>
  <c r="L78" i="11"/>
  <c r="L80" i="11"/>
  <c r="L81" i="11"/>
  <c r="U67" i="7" s="1"/>
  <c r="L83" i="11"/>
  <c r="U31" i="7" s="1"/>
  <c r="L84" i="11"/>
  <c r="L85" i="11"/>
  <c r="L86" i="11"/>
  <c r="L87" i="11"/>
  <c r="L88" i="11"/>
  <c r="L89" i="11"/>
  <c r="L90" i="11"/>
  <c r="U13" i="7" s="1"/>
  <c r="L91" i="11"/>
  <c r="U64" i="7" s="1"/>
  <c r="L92" i="11"/>
  <c r="L46" i="11"/>
  <c r="K47" i="11"/>
  <c r="K48" i="11"/>
  <c r="K49" i="11"/>
  <c r="K50" i="11"/>
  <c r="K51" i="11"/>
  <c r="K52" i="11"/>
  <c r="K53" i="11"/>
  <c r="K54" i="11"/>
  <c r="K56" i="11"/>
  <c r="T27" i="7" s="1"/>
  <c r="K57" i="11"/>
  <c r="T21" i="7" s="1"/>
  <c r="T22" i="7" s="1"/>
  <c r="K58" i="11"/>
  <c r="K59" i="11"/>
  <c r="K60" i="11"/>
  <c r="K61" i="11"/>
  <c r="K62" i="11"/>
  <c r="T6" i="7" s="1"/>
  <c r="K63" i="11"/>
  <c r="T56" i="7" s="1"/>
  <c r="K66" i="11"/>
  <c r="T68" i="7" s="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T67" i="7" s="1"/>
  <c r="K83" i="11"/>
  <c r="T31" i="7" s="1"/>
  <c r="K84" i="11"/>
  <c r="K85" i="11"/>
  <c r="K86" i="11"/>
  <c r="K87" i="11"/>
  <c r="K88" i="11"/>
  <c r="K89" i="11"/>
  <c r="K90" i="11"/>
  <c r="T7" i="7" s="1"/>
  <c r="K91" i="11"/>
  <c r="T64" i="7" s="1"/>
  <c r="K92" i="11"/>
  <c r="K46" i="11"/>
  <c r="J47" i="11"/>
  <c r="J48" i="11"/>
  <c r="J49" i="11"/>
  <c r="J50" i="11"/>
  <c r="J51" i="11"/>
  <c r="J52" i="11"/>
  <c r="J53" i="11"/>
  <c r="J54" i="11"/>
  <c r="J56" i="11"/>
  <c r="S16" i="7" s="1"/>
  <c r="J57" i="11"/>
  <c r="S21" i="7" s="1"/>
  <c r="S22" i="7" s="1"/>
  <c r="J58" i="11"/>
  <c r="S11" i="7" s="1"/>
  <c r="J59" i="11"/>
  <c r="J60" i="11"/>
  <c r="S10" i="7" s="1"/>
  <c r="J61" i="11"/>
  <c r="J62" i="11"/>
  <c r="S9" i="7" s="1"/>
  <c r="J63" i="11"/>
  <c r="S56" i="7" s="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S67" i="7" s="1"/>
  <c r="J83" i="11"/>
  <c r="S31" i="7" s="1"/>
  <c r="J84" i="11"/>
  <c r="J85" i="11"/>
  <c r="J87" i="11"/>
  <c r="J88" i="11"/>
  <c r="J89" i="11"/>
  <c r="J90" i="11"/>
  <c r="S17" i="7" s="1"/>
  <c r="J91" i="11"/>
  <c r="S64" i="7" s="1"/>
  <c r="J92" i="11"/>
  <c r="J46" i="11"/>
  <c r="I47" i="11"/>
  <c r="I48" i="11"/>
  <c r="I49" i="11"/>
  <c r="I50" i="11"/>
  <c r="I52" i="11"/>
  <c r="I53" i="11"/>
  <c r="I54" i="11"/>
  <c r="I56" i="11"/>
  <c r="R27" i="7" s="1"/>
  <c r="R28" i="7" s="1"/>
  <c r="I57" i="11"/>
  <c r="R21" i="7" s="1"/>
  <c r="R22" i="7" s="1"/>
  <c r="R23" i="7" s="1"/>
  <c r="I58" i="11"/>
  <c r="R11" i="7" s="1"/>
  <c r="I59" i="11"/>
  <c r="I60" i="11"/>
  <c r="R10" i="7" s="1"/>
  <c r="I61" i="11"/>
  <c r="I62" i="11"/>
  <c r="R6" i="7" s="1"/>
  <c r="I63" i="11"/>
  <c r="R65" i="7" s="1"/>
  <c r="I66" i="11"/>
  <c r="R68" i="7" s="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R67" i="7" s="1"/>
  <c r="I83" i="11"/>
  <c r="R31" i="7" s="1"/>
  <c r="I84" i="11"/>
  <c r="I85" i="11"/>
  <c r="I87" i="11"/>
  <c r="I88" i="11"/>
  <c r="I89" i="11"/>
  <c r="I90" i="11"/>
  <c r="R39" i="7" s="1"/>
  <c r="I91" i="11"/>
  <c r="R64" i="7" s="1"/>
  <c r="I92" i="11"/>
  <c r="I46" i="11"/>
  <c r="N11" i="7"/>
  <c r="N13" i="7"/>
  <c r="I26" i="7"/>
  <c r="J26" i="7"/>
  <c r="K26" i="7"/>
  <c r="H26" i="7"/>
  <c r="D26" i="7"/>
  <c r="E26" i="7"/>
  <c r="F26" i="7"/>
  <c r="C26" i="7"/>
  <c r="I32" i="7"/>
  <c r="J32" i="7"/>
  <c r="K32" i="7"/>
  <c r="H32" i="7"/>
  <c r="D32" i="7"/>
  <c r="E32" i="7"/>
  <c r="F32" i="7"/>
  <c r="C32" i="7"/>
  <c r="P15" i="7"/>
  <c r="I31" i="7"/>
  <c r="J31" i="7"/>
  <c r="K31" i="7"/>
  <c r="H31" i="7"/>
  <c r="D73" i="7"/>
  <c r="E73" i="7"/>
  <c r="F73" i="7"/>
  <c r="I73" i="7"/>
  <c r="J73" i="7"/>
  <c r="K73" i="7"/>
  <c r="H73" i="7"/>
  <c r="I72" i="7"/>
  <c r="J72" i="7"/>
  <c r="K72" i="7"/>
  <c r="H72" i="7"/>
  <c r="C73" i="7"/>
  <c r="D72" i="7"/>
  <c r="E72" i="7"/>
  <c r="F72" i="7"/>
  <c r="C72" i="7"/>
  <c r="I71" i="7"/>
  <c r="J71" i="7"/>
  <c r="K71" i="7"/>
  <c r="H71" i="7"/>
  <c r="D71" i="7"/>
  <c r="E71" i="7"/>
  <c r="F71" i="7"/>
  <c r="C71" i="7"/>
  <c r="M62" i="7"/>
  <c r="H62" i="7"/>
  <c r="I65" i="7"/>
  <c r="J65" i="7"/>
  <c r="K65" i="7"/>
  <c r="H65" i="7"/>
  <c r="I64" i="7"/>
  <c r="J64" i="7"/>
  <c r="K64" i="7"/>
  <c r="H64" i="7"/>
  <c r="I67" i="7"/>
  <c r="J67" i="7"/>
  <c r="K67" i="7"/>
  <c r="H67" i="7"/>
  <c r="I68" i="7"/>
  <c r="J68" i="7"/>
  <c r="K68" i="7"/>
  <c r="H68" i="7"/>
  <c r="F68" i="7"/>
  <c r="E68" i="7"/>
  <c r="D68" i="7"/>
  <c r="C68" i="7"/>
  <c r="C65" i="7"/>
  <c r="D65" i="7"/>
  <c r="E65" i="7"/>
  <c r="F65" i="7"/>
  <c r="I15" i="11"/>
  <c r="R72" i="7" s="1"/>
  <c r="H38" i="7"/>
  <c r="H45" i="7"/>
  <c r="I49" i="7"/>
  <c r="J49" i="7"/>
  <c r="K49" i="7"/>
  <c r="H49" i="7"/>
  <c r="I48" i="7"/>
  <c r="J48" i="7"/>
  <c r="K48" i="7"/>
  <c r="H48" i="7"/>
  <c r="I46" i="7"/>
  <c r="J46" i="7"/>
  <c r="K46" i="7"/>
  <c r="H46" i="7"/>
  <c r="H43" i="7"/>
  <c r="I45" i="7"/>
  <c r="J45" i="7"/>
  <c r="K45" i="7"/>
  <c r="I43" i="7"/>
  <c r="J43" i="7"/>
  <c r="K43" i="7"/>
  <c r="I42" i="7"/>
  <c r="J42" i="7"/>
  <c r="K42" i="7"/>
  <c r="H42" i="7"/>
  <c r="I39" i="7"/>
  <c r="J39" i="7"/>
  <c r="K39" i="7"/>
  <c r="H39" i="7"/>
  <c r="I38" i="7"/>
  <c r="J38" i="7"/>
  <c r="K38" i="7"/>
  <c r="D31" i="7"/>
  <c r="E31" i="7"/>
  <c r="F31" i="7"/>
  <c r="C31" i="7"/>
  <c r="I27" i="7"/>
  <c r="J27" i="7"/>
  <c r="K27" i="7"/>
  <c r="H27" i="7"/>
  <c r="H28" i="7" s="1"/>
  <c r="H29" i="7" s="1"/>
  <c r="H30" i="7" s="1"/>
  <c r="K21" i="7"/>
  <c r="K22" i="7" s="1"/>
  <c r="I24" i="7"/>
  <c r="J24" i="7"/>
  <c r="K24" i="7"/>
  <c r="H24" i="7"/>
  <c r="I21" i="7"/>
  <c r="I22" i="7" s="1"/>
  <c r="J21" i="7"/>
  <c r="J22" i="7" s="1"/>
  <c r="H21" i="7"/>
  <c r="H22" i="7" s="1"/>
  <c r="H23" i="7" s="1"/>
  <c r="H25" i="7" s="1"/>
  <c r="I17" i="7"/>
  <c r="J17" i="7"/>
  <c r="K17" i="7"/>
  <c r="I16" i="7"/>
  <c r="J16" i="7"/>
  <c r="K16" i="7"/>
  <c r="H16" i="7"/>
  <c r="I15" i="7"/>
  <c r="J15" i="7"/>
  <c r="K15" i="7"/>
  <c r="H15" i="7"/>
  <c r="D15" i="7"/>
  <c r="E15" i="7"/>
  <c r="F15" i="7"/>
  <c r="C15" i="7"/>
  <c r="I13" i="7"/>
  <c r="J13" i="7"/>
  <c r="K13" i="7"/>
  <c r="H13" i="7"/>
  <c r="I11" i="7"/>
  <c r="J11" i="7"/>
  <c r="K11" i="7"/>
  <c r="H11" i="7"/>
  <c r="K9" i="7"/>
  <c r="J9" i="7"/>
  <c r="I9" i="7"/>
  <c r="H9" i="7"/>
  <c r="C9" i="7"/>
  <c r="T11" i="7"/>
  <c r="T10" i="7"/>
  <c r="T65" i="7"/>
  <c r="S38" i="7"/>
  <c r="S49" i="7"/>
  <c r="L30" i="11"/>
  <c r="L31" i="11"/>
  <c r="L33" i="11"/>
  <c r="L35" i="11"/>
  <c r="L36" i="11"/>
  <c r="L37" i="11"/>
  <c r="L38" i="11"/>
  <c r="L27" i="11"/>
  <c r="K30" i="11"/>
  <c r="K31" i="11"/>
  <c r="K33" i="11"/>
  <c r="K35" i="11"/>
  <c r="K36" i="11"/>
  <c r="K37" i="11"/>
  <c r="K38" i="11"/>
  <c r="K27" i="11"/>
  <c r="J37" i="11"/>
  <c r="J38" i="11"/>
  <c r="J35" i="11"/>
  <c r="J33" i="11"/>
  <c r="J31" i="11"/>
  <c r="J30" i="11"/>
  <c r="J27" i="11"/>
  <c r="I38" i="11"/>
  <c r="I37" i="11"/>
  <c r="I36" i="11"/>
  <c r="I35" i="11"/>
  <c r="I33" i="11"/>
  <c r="I31" i="11"/>
  <c r="I30" i="11"/>
  <c r="I27" i="11"/>
  <c r="I6" i="11"/>
  <c r="R46" i="7" s="1"/>
  <c r="I7" i="11"/>
  <c r="R26" i="7" s="1"/>
  <c r="I8" i="11"/>
  <c r="R37" i="7" s="1"/>
  <c r="I9" i="11"/>
  <c r="I13" i="11"/>
  <c r="I14" i="11"/>
  <c r="I16" i="11"/>
  <c r="R73" i="7" s="1"/>
  <c r="I17" i="11"/>
  <c r="I18" i="11"/>
  <c r="I19" i="11"/>
  <c r="I20" i="11"/>
  <c r="I21" i="11"/>
  <c r="R45" i="7" s="1"/>
  <c r="L10" i="11"/>
  <c r="L7" i="11"/>
  <c r="U26" i="7" s="1"/>
  <c r="L8" i="11"/>
  <c r="U37" i="7" s="1"/>
  <c r="L9" i="11"/>
  <c r="L13" i="11"/>
  <c r="L14" i="11"/>
  <c r="L15" i="11"/>
  <c r="U72" i="7" s="1"/>
  <c r="L16" i="11"/>
  <c r="U73" i="7" s="1"/>
  <c r="L17" i="11"/>
  <c r="L18" i="11"/>
  <c r="L19" i="11"/>
  <c r="L20" i="11"/>
  <c r="L21" i="11"/>
  <c r="U71" i="7" s="1"/>
  <c r="L6" i="11"/>
  <c r="U43" i="7" s="1"/>
  <c r="K7" i="11"/>
  <c r="T26" i="7" s="1"/>
  <c r="K8" i="11"/>
  <c r="T37" i="7" s="1"/>
  <c r="K9" i="11"/>
  <c r="K12" i="11"/>
  <c r="K13" i="11"/>
  <c r="K14" i="11"/>
  <c r="K15" i="11"/>
  <c r="T72" i="7" s="1"/>
  <c r="K16" i="11"/>
  <c r="T73" i="7" s="1"/>
  <c r="K17" i="11"/>
  <c r="K18" i="11"/>
  <c r="K19" i="11"/>
  <c r="K20" i="11"/>
  <c r="K21" i="11"/>
  <c r="T48" i="7" s="1"/>
  <c r="K6" i="11"/>
  <c r="T43" i="7" s="1"/>
  <c r="J14" i="11"/>
  <c r="J15" i="11"/>
  <c r="S72" i="7" s="1"/>
  <c r="J16" i="11"/>
  <c r="S73" i="7" s="1"/>
  <c r="J17" i="11"/>
  <c r="J18" i="11"/>
  <c r="J19" i="11"/>
  <c r="J20" i="11"/>
  <c r="J21" i="11"/>
  <c r="S48" i="7" s="1"/>
  <c r="J13" i="11"/>
  <c r="J7" i="11"/>
  <c r="S26" i="7" s="1"/>
  <c r="J8" i="11"/>
  <c r="S37" i="7" s="1"/>
  <c r="J6" i="11"/>
  <c r="S43" i="7" s="1"/>
  <c r="C67" i="7"/>
  <c r="D67" i="7"/>
  <c r="E67" i="7"/>
  <c r="F67" i="7"/>
  <c r="C64" i="7"/>
  <c r="D64" i="7"/>
  <c r="E64" i="7"/>
  <c r="F64" i="7"/>
  <c r="B62" i="7"/>
  <c r="B61" i="7"/>
  <c r="C62" i="7"/>
  <c r="C49" i="7"/>
  <c r="D49" i="7"/>
  <c r="E49" i="7"/>
  <c r="F49" i="7"/>
  <c r="C48" i="7"/>
  <c r="D48" i="7"/>
  <c r="E48" i="7"/>
  <c r="F48" i="7"/>
  <c r="C46" i="7"/>
  <c r="D46" i="7"/>
  <c r="E46" i="7"/>
  <c r="F46" i="7"/>
  <c r="C45" i="7"/>
  <c r="D45" i="7"/>
  <c r="E45" i="7"/>
  <c r="F45" i="7"/>
  <c r="C43" i="7"/>
  <c r="D43" i="7"/>
  <c r="E43" i="7"/>
  <c r="F43" i="7"/>
  <c r="C42" i="7"/>
  <c r="D42" i="7"/>
  <c r="E42" i="7"/>
  <c r="F42" i="7"/>
  <c r="B42" i="7"/>
  <c r="C39" i="7"/>
  <c r="D39" i="7"/>
  <c r="E39" i="7"/>
  <c r="F39" i="7"/>
  <c r="C38" i="7"/>
  <c r="D38" i="7"/>
  <c r="E38" i="7"/>
  <c r="F38" i="7"/>
  <c r="C27" i="7"/>
  <c r="C28" i="7" s="1"/>
  <c r="D27" i="7"/>
  <c r="E27" i="7"/>
  <c r="F27" i="7"/>
  <c r="B27" i="7"/>
  <c r="C24" i="7"/>
  <c r="D24" i="7"/>
  <c r="E24" i="7"/>
  <c r="F24" i="7"/>
  <c r="C21" i="7"/>
  <c r="C22" i="7" s="1"/>
  <c r="C23" i="7" s="1"/>
  <c r="D21" i="7"/>
  <c r="D22" i="7" s="1"/>
  <c r="E21" i="7"/>
  <c r="E22" i="7" s="1"/>
  <c r="F21" i="7"/>
  <c r="F22" i="7" s="1"/>
  <c r="C17" i="7"/>
  <c r="D17" i="7"/>
  <c r="E17" i="7"/>
  <c r="F17" i="7"/>
  <c r="C16" i="7"/>
  <c r="D16" i="7"/>
  <c r="E16" i="7"/>
  <c r="F16" i="7"/>
  <c r="B16" i="7"/>
  <c r="C13" i="7"/>
  <c r="D13" i="7"/>
  <c r="E13" i="7"/>
  <c r="F13" i="7"/>
  <c r="C11" i="7"/>
  <c r="D11" i="7"/>
  <c r="E11" i="7"/>
  <c r="F11" i="7"/>
  <c r="B11" i="7"/>
  <c r="D10" i="7"/>
  <c r="E10" i="7"/>
  <c r="F10" i="7"/>
  <c r="D9" i="7"/>
  <c r="E9" i="7"/>
  <c r="F9" i="7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T15" i="7" l="1"/>
  <c r="R15" i="7"/>
  <c r="R7" i="7"/>
  <c r="T57" i="7"/>
  <c r="T17" i="7"/>
  <c r="S7" i="7"/>
  <c r="R8" i="7"/>
  <c r="U55" i="7"/>
  <c r="U58" i="7" s="1"/>
  <c r="U56" i="7"/>
  <c r="U57" i="7" s="1"/>
  <c r="T55" i="7"/>
  <c r="T58" i="7" s="1"/>
  <c r="S55" i="7"/>
  <c r="R29" i="7"/>
  <c r="R30" i="7" s="1"/>
  <c r="T8" i="7"/>
  <c r="S6" i="7"/>
  <c r="U7" i="7"/>
  <c r="U8" i="7" s="1"/>
  <c r="R56" i="7"/>
  <c r="S57" i="7" s="1"/>
  <c r="R55" i="7"/>
  <c r="U15" i="7"/>
  <c r="R17" i="7"/>
  <c r="M48" i="7"/>
  <c r="M56" i="7"/>
  <c r="O57" i="7"/>
  <c r="M10" i="7"/>
  <c r="P10" i="7"/>
  <c r="P7" i="7"/>
  <c r="P8" i="7" s="1"/>
  <c r="O10" i="7"/>
  <c r="N10" i="7"/>
  <c r="N12" i="7" s="1"/>
  <c r="N14" i="7" s="1"/>
  <c r="N37" i="7"/>
  <c r="M17" i="7"/>
  <c r="M18" i="7" s="1"/>
  <c r="O55" i="7"/>
  <c r="O58" i="7" s="1"/>
  <c r="O52" i="7"/>
  <c r="P53" i="7" s="1"/>
  <c r="P54" i="7" s="1"/>
  <c r="P62" i="7" s="1"/>
  <c r="M37" i="7"/>
  <c r="N55" i="7"/>
  <c r="N57" i="7"/>
  <c r="N58" i="7" s="1"/>
  <c r="M6" i="7"/>
  <c r="M8" i="7" s="1"/>
  <c r="P56" i="7"/>
  <c r="P57" i="7" s="1"/>
  <c r="N52" i="7"/>
  <c r="O39" i="7"/>
  <c r="O6" i="7"/>
  <c r="O8" i="7" s="1"/>
  <c r="P37" i="7"/>
  <c r="N6" i="7"/>
  <c r="N8" i="7" s="1"/>
  <c r="M55" i="7"/>
  <c r="O37" i="7"/>
  <c r="P55" i="7"/>
  <c r="K57" i="7"/>
  <c r="J57" i="7"/>
  <c r="K58" i="7"/>
  <c r="J58" i="7"/>
  <c r="I8" i="7"/>
  <c r="I57" i="7"/>
  <c r="I58" i="7" s="1"/>
  <c r="C25" i="7"/>
  <c r="C29" i="7"/>
  <c r="C30" i="7" s="1"/>
  <c r="D58" i="7"/>
  <c r="D33" i="7"/>
  <c r="F57" i="7"/>
  <c r="F58" i="7" s="1"/>
  <c r="F74" i="7"/>
  <c r="F75" i="7" s="1"/>
  <c r="E8" i="7"/>
  <c r="E58" i="7"/>
  <c r="C8" i="7"/>
  <c r="F8" i="7"/>
  <c r="D8" i="7"/>
  <c r="C40" i="7"/>
  <c r="C41" i="7" s="1"/>
  <c r="H34" i="7"/>
  <c r="I33" i="7"/>
  <c r="E33" i="7"/>
  <c r="F33" i="7"/>
  <c r="C33" i="7"/>
  <c r="C34" i="7" s="1"/>
  <c r="U49" i="7"/>
  <c r="T39" i="7"/>
  <c r="T52" i="7"/>
  <c r="S42" i="7"/>
  <c r="S44" i="7" s="1"/>
  <c r="T71" i="7"/>
  <c r="T74" i="7" s="1"/>
  <c r="T75" i="7" s="1"/>
  <c r="T49" i="7"/>
  <c r="T50" i="7" s="1"/>
  <c r="T61" i="7" s="1"/>
  <c r="S39" i="7"/>
  <c r="S40" i="7" s="1"/>
  <c r="S41" i="7" s="1"/>
  <c r="R24" i="7"/>
  <c r="R25" i="7" s="1"/>
  <c r="S46" i="7"/>
  <c r="R38" i="7"/>
  <c r="R40" i="7" s="1"/>
  <c r="R41" i="7" s="1"/>
  <c r="U24" i="7"/>
  <c r="R52" i="7"/>
  <c r="T24" i="7"/>
  <c r="S24" i="7"/>
  <c r="U45" i="7"/>
  <c r="S51" i="7"/>
  <c r="R16" i="7"/>
  <c r="T45" i="7"/>
  <c r="U16" i="7"/>
  <c r="R71" i="7"/>
  <c r="T16" i="7"/>
  <c r="T18" i="7" s="1"/>
  <c r="S27" i="7"/>
  <c r="S28" i="7" s="1"/>
  <c r="S29" i="7" s="1"/>
  <c r="S30" i="7" s="1"/>
  <c r="U42" i="7"/>
  <c r="U44" i="7" s="1"/>
  <c r="T42" i="7"/>
  <c r="T44" i="7" s="1"/>
  <c r="R49" i="7"/>
  <c r="R51" i="7"/>
  <c r="R62" i="7" s="1"/>
  <c r="S15" i="7"/>
  <c r="S18" i="7" s="1"/>
  <c r="U46" i="7"/>
  <c r="U51" i="7"/>
  <c r="U39" i="7"/>
  <c r="S68" i="7"/>
  <c r="S69" i="7" s="1"/>
  <c r="S65" i="7"/>
  <c r="S66" i="7" s="1"/>
  <c r="R42" i="7"/>
  <c r="T46" i="7"/>
  <c r="T51" i="7"/>
  <c r="S71" i="7"/>
  <c r="S74" i="7" s="1"/>
  <c r="S75" i="7" s="1"/>
  <c r="T9" i="7"/>
  <c r="T12" i="7" s="1"/>
  <c r="T13" i="7"/>
  <c r="R48" i="7"/>
  <c r="S52" i="7"/>
  <c r="T53" i="7" s="1"/>
  <c r="R9" i="7"/>
  <c r="R12" i="7" s="1"/>
  <c r="R13" i="7"/>
  <c r="U52" i="7"/>
  <c r="U9" i="7"/>
  <c r="U12" i="7" s="1"/>
  <c r="U14" i="7" s="1"/>
  <c r="U17" i="7"/>
  <c r="S13" i="7"/>
  <c r="U48" i="7"/>
  <c r="U38" i="7"/>
  <c r="R32" i="7"/>
  <c r="R33" i="7" s="1"/>
  <c r="S45" i="7"/>
  <c r="T38" i="7"/>
  <c r="U32" i="7"/>
  <c r="U33" i="7" s="1"/>
  <c r="R43" i="7"/>
  <c r="T32" i="7"/>
  <c r="T33" i="7" s="1"/>
  <c r="S32" i="7"/>
  <c r="S33" i="7" s="1"/>
  <c r="P27" i="7"/>
  <c r="P28" i="7" s="1"/>
  <c r="N39" i="7"/>
  <c r="N65" i="7"/>
  <c r="N68" i="7"/>
  <c r="N69" i="7" s="1"/>
  <c r="M27" i="7"/>
  <c r="O64" i="7"/>
  <c r="P64" i="7"/>
  <c r="M24" i="7"/>
  <c r="M25" i="7" s="1"/>
  <c r="M26" i="7"/>
  <c r="P46" i="7"/>
  <c r="P26" i="7"/>
  <c r="M64" i="7"/>
  <c r="M65" i="7"/>
  <c r="O32" i="7"/>
  <c r="O33" i="7" s="1"/>
  <c r="P9" i="7"/>
  <c r="P12" i="7" s="1"/>
  <c r="P65" i="7"/>
  <c r="O9" i="7"/>
  <c r="O65" i="7"/>
  <c r="M9" i="7"/>
  <c r="M12" i="7" s="1"/>
  <c r="P24" i="7"/>
  <c r="O24" i="7"/>
  <c r="O67" i="7"/>
  <c r="M13" i="7"/>
  <c r="O46" i="7"/>
  <c r="N64" i="7"/>
  <c r="N32" i="7"/>
  <c r="N33" i="7" s="1"/>
  <c r="O17" i="7"/>
  <c r="O38" i="7"/>
  <c r="P48" i="7"/>
  <c r="P50" i="7" s="1"/>
  <c r="P61" i="7" s="1"/>
  <c r="M68" i="7"/>
  <c r="M70" i="7" s="1"/>
  <c r="N38" i="7"/>
  <c r="O48" i="7"/>
  <c r="O50" i="7" s="1"/>
  <c r="O61" i="7" s="1"/>
  <c r="P68" i="7"/>
  <c r="P70" i="7" s="1"/>
  <c r="M45" i="7"/>
  <c r="M46" i="7"/>
  <c r="M39" i="7"/>
  <c r="N48" i="7"/>
  <c r="N50" i="7" s="1"/>
  <c r="N61" i="7" s="1"/>
  <c r="O68" i="7"/>
  <c r="M33" i="7"/>
  <c r="P33" i="7"/>
  <c r="I50" i="7"/>
  <c r="I61" i="7" s="1"/>
  <c r="J70" i="7"/>
  <c r="M50" i="7"/>
  <c r="M61" i="7" s="1"/>
  <c r="O16" i="7"/>
  <c r="N24" i="7"/>
  <c r="N16" i="7"/>
  <c r="N46" i="7"/>
  <c r="P13" i="7"/>
  <c r="M38" i="7"/>
  <c r="P45" i="7"/>
  <c r="N17" i="7"/>
  <c r="O13" i="7"/>
  <c r="P38" i="7"/>
  <c r="O45" i="7"/>
  <c r="N15" i="7"/>
  <c r="N45" i="7"/>
  <c r="P39" i="7"/>
  <c r="H33" i="7"/>
  <c r="K33" i="7"/>
  <c r="E74" i="7"/>
  <c r="E75" i="7" s="1"/>
  <c r="J33" i="7"/>
  <c r="P23" i="7"/>
  <c r="O23" i="7"/>
  <c r="S23" i="7"/>
  <c r="T23" i="7"/>
  <c r="U23" i="7"/>
  <c r="U25" i="7" s="1"/>
  <c r="K23" i="7"/>
  <c r="K25" i="7" s="1"/>
  <c r="I23" i="7"/>
  <c r="I25" i="7" s="1"/>
  <c r="J23" i="7"/>
  <c r="J25" i="7" s="1"/>
  <c r="N23" i="7"/>
  <c r="S50" i="7"/>
  <c r="S61" i="7" s="1"/>
  <c r="P74" i="7"/>
  <c r="P75" i="7" s="1"/>
  <c r="N74" i="7"/>
  <c r="N75" i="7" s="1"/>
  <c r="O74" i="7"/>
  <c r="O75" i="7" s="1"/>
  <c r="M74" i="7"/>
  <c r="M75" i="7" s="1"/>
  <c r="C74" i="7"/>
  <c r="D74" i="7"/>
  <c r="D75" i="7" s="1"/>
  <c r="J74" i="7"/>
  <c r="J75" i="7" s="1"/>
  <c r="I74" i="7"/>
  <c r="I75" i="7" s="1"/>
  <c r="H74" i="7"/>
  <c r="H75" i="7" s="1"/>
  <c r="K74" i="7"/>
  <c r="K75" i="7" s="1"/>
  <c r="U74" i="7"/>
  <c r="U75" i="7" s="1"/>
  <c r="H50" i="7"/>
  <c r="H61" i="7" s="1"/>
  <c r="K50" i="7"/>
  <c r="K61" i="7" s="1"/>
  <c r="K40" i="7"/>
  <c r="K41" i="7" s="1"/>
  <c r="J47" i="7"/>
  <c r="T70" i="7"/>
  <c r="P44" i="7"/>
  <c r="I47" i="7"/>
  <c r="R70" i="7"/>
  <c r="U70" i="7"/>
  <c r="J50" i="7"/>
  <c r="J61" i="7" s="1"/>
  <c r="H44" i="7"/>
  <c r="R47" i="7"/>
  <c r="K44" i="7"/>
  <c r="N44" i="7"/>
  <c r="S12" i="7"/>
  <c r="J44" i="7"/>
  <c r="F50" i="7"/>
  <c r="F61" i="7" s="1"/>
  <c r="C70" i="7"/>
  <c r="H40" i="7"/>
  <c r="H41" i="7" s="1"/>
  <c r="M44" i="7"/>
  <c r="O44" i="7"/>
  <c r="P18" i="7"/>
  <c r="R66" i="7"/>
  <c r="U66" i="7"/>
  <c r="F66" i="7"/>
  <c r="T66" i="7"/>
  <c r="E66" i="7"/>
  <c r="I66" i="7"/>
  <c r="I44" i="7"/>
  <c r="H66" i="7"/>
  <c r="K66" i="7"/>
  <c r="H47" i="7"/>
  <c r="H12" i="7"/>
  <c r="H14" i="7" s="1"/>
  <c r="J12" i="7"/>
  <c r="J14" i="7" s="1"/>
  <c r="K47" i="7"/>
  <c r="K12" i="7"/>
  <c r="K14" i="7" s="1"/>
  <c r="H70" i="7"/>
  <c r="K70" i="7"/>
  <c r="I12" i="7"/>
  <c r="I14" i="7" s="1"/>
  <c r="J66" i="7"/>
  <c r="I70" i="7"/>
  <c r="J40" i="7"/>
  <c r="J41" i="7" s="1"/>
  <c r="I40" i="7"/>
  <c r="I41" i="7" s="1"/>
  <c r="K18" i="7"/>
  <c r="H18" i="7"/>
  <c r="J18" i="7"/>
  <c r="I18" i="7"/>
  <c r="I53" i="7"/>
  <c r="I54" i="7" s="1"/>
  <c r="I62" i="7" s="1"/>
  <c r="H69" i="7"/>
  <c r="K69" i="7"/>
  <c r="J69" i="7"/>
  <c r="I69" i="7"/>
  <c r="R69" i="7"/>
  <c r="U69" i="7"/>
  <c r="T69" i="7"/>
  <c r="K53" i="7"/>
  <c r="K54" i="7" s="1"/>
  <c r="K62" i="7" s="1"/>
  <c r="J53" i="7"/>
  <c r="J54" i="7" s="1"/>
  <c r="J62" i="7" s="1"/>
  <c r="I28" i="7"/>
  <c r="I29" i="7" s="1"/>
  <c r="I30" i="7" s="1"/>
  <c r="K28" i="7"/>
  <c r="K29" i="7" s="1"/>
  <c r="K30" i="7" s="1"/>
  <c r="J28" i="7"/>
  <c r="J29" i="7" s="1"/>
  <c r="J30" i="7" s="1"/>
  <c r="O28" i="7"/>
  <c r="O29" i="7" s="1"/>
  <c r="O30" i="7" s="1"/>
  <c r="U28" i="7"/>
  <c r="U29" i="7" s="1"/>
  <c r="U30" i="7" s="1"/>
  <c r="E23" i="7"/>
  <c r="E25" i="7" s="1"/>
  <c r="D66" i="7"/>
  <c r="C66" i="7"/>
  <c r="F69" i="7"/>
  <c r="E70" i="7"/>
  <c r="D70" i="7"/>
  <c r="C69" i="7"/>
  <c r="D69" i="7"/>
  <c r="E69" i="7"/>
  <c r="F70" i="7"/>
  <c r="F53" i="7"/>
  <c r="F54" i="7" s="1"/>
  <c r="F62" i="7" s="1"/>
  <c r="E50" i="7"/>
  <c r="E61" i="7" s="1"/>
  <c r="D53" i="7"/>
  <c r="E53" i="7"/>
  <c r="E54" i="7" s="1"/>
  <c r="E62" i="7" s="1"/>
  <c r="F28" i="7"/>
  <c r="F29" i="7" s="1"/>
  <c r="F30" i="7" s="1"/>
  <c r="E47" i="7"/>
  <c r="C50" i="7"/>
  <c r="C61" i="7" s="1"/>
  <c r="F47" i="7"/>
  <c r="D50" i="7"/>
  <c r="D61" i="7" s="1"/>
  <c r="D47" i="7"/>
  <c r="C47" i="7"/>
  <c r="D44" i="7"/>
  <c r="C44" i="7"/>
  <c r="F44" i="7"/>
  <c r="C18" i="7"/>
  <c r="E44" i="7"/>
  <c r="F40" i="7"/>
  <c r="F41" i="7" s="1"/>
  <c r="E40" i="7"/>
  <c r="E41" i="7" s="1"/>
  <c r="D23" i="7"/>
  <c r="D25" i="7" s="1"/>
  <c r="D40" i="7"/>
  <c r="D41" i="7" s="1"/>
  <c r="D18" i="7"/>
  <c r="F23" i="7"/>
  <c r="F25" i="7" s="1"/>
  <c r="E28" i="7"/>
  <c r="E29" i="7" s="1"/>
  <c r="E30" i="7" s="1"/>
  <c r="D28" i="7"/>
  <c r="D29" i="7" s="1"/>
  <c r="D30" i="7" s="1"/>
  <c r="F18" i="7"/>
  <c r="E18" i="7"/>
  <c r="F12" i="7"/>
  <c r="F14" i="7" s="1"/>
  <c r="E12" i="7"/>
  <c r="E14" i="7" s="1"/>
  <c r="D12" i="7"/>
  <c r="D14" i="7" s="1"/>
  <c r="C12" i="7"/>
  <c r="C14" i="7" s="1"/>
  <c r="T40" i="7" l="1"/>
  <c r="T41" i="7" s="1"/>
  <c r="S8" i="7"/>
  <c r="U34" i="7"/>
  <c r="R50" i="7"/>
  <c r="R61" i="7" s="1"/>
  <c r="S58" i="7"/>
  <c r="R34" i="7"/>
  <c r="O53" i="7"/>
  <c r="O54" i="7" s="1"/>
  <c r="O62" i="7" s="1"/>
  <c r="N40" i="7"/>
  <c r="O40" i="7"/>
  <c r="O12" i="7"/>
  <c r="O14" i="7" s="1"/>
  <c r="P58" i="7"/>
  <c r="N53" i="7"/>
  <c r="N54" i="7" s="1"/>
  <c r="N62" i="7" s="1"/>
  <c r="N63" i="7" s="1"/>
  <c r="K34" i="7"/>
  <c r="J34" i="7"/>
  <c r="I34" i="7"/>
  <c r="F34" i="7"/>
  <c r="D34" i="7"/>
  <c r="E34" i="7"/>
  <c r="N28" i="7"/>
  <c r="N29" i="7" s="1"/>
  <c r="N30" i="7" s="1"/>
  <c r="M28" i="7"/>
  <c r="M29" i="7" s="1"/>
  <c r="M30" i="7" s="1"/>
  <c r="M34" i="7" s="1"/>
  <c r="N66" i="7"/>
  <c r="N70" i="7"/>
  <c r="D54" i="7"/>
  <c r="D62" i="7" s="1"/>
  <c r="D63" i="7" s="1"/>
  <c r="U40" i="7"/>
  <c r="U41" i="7" s="1"/>
  <c r="R18" i="7"/>
  <c r="P25" i="7"/>
  <c r="P66" i="7"/>
  <c r="U50" i="7"/>
  <c r="U61" i="7" s="1"/>
  <c r="T47" i="7"/>
  <c r="S53" i="7"/>
  <c r="S54" i="7" s="1"/>
  <c r="S62" i="7" s="1"/>
  <c r="S63" i="7" s="1"/>
  <c r="S25" i="7"/>
  <c r="S34" i="7" s="1"/>
  <c r="U53" i="7"/>
  <c r="U54" i="7" s="1"/>
  <c r="U62" i="7" s="1"/>
  <c r="S47" i="7"/>
  <c r="R74" i="7"/>
  <c r="R75" i="7" s="1"/>
  <c r="C75" i="7"/>
  <c r="U18" i="7"/>
  <c r="R44" i="7"/>
  <c r="R14" i="7"/>
  <c r="T14" i="7"/>
  <c r="U47" i="7"/>
  <c r="S70" i="7"/>
  <c r="T25" i="7"/>
  <c r="T28" i="7"/>
  <c r="T29" i="7" s="1"/>
  <c r="T30" i="7" s="1"/>
  <c r="T54" i="7"/>
  <c r="T62" i="7" s="1"/>
  <c r="T63" i="7" s="1"/>
  <c r="S14" i="7"/>
  <c r="O66" i="7"/>
  <c r="P47" i="7"/>
  <c r="M69" i="7"/>
  <c r="N41" i="7"/>
  <c r="O47" i="7"/>
  <c r="M47" i="7"/>
  <c r="O70" i="7"/>
  <c r="O25" i="7"/>
  <c r="O34" i="7" s="1"/>
  <c r="M66" i="7"/>
  <c r="P14" i="7"/>
  <c r="P29" i="7"/>
  <c r="P30" i="7" s="1"/>
  <c r="M14" i="7"/>
  <c r="O18" i="7"/>
  <c r="M40" i="7"/>
  <c r="M41" i="7" s="1"/>
  <c r="O41" i="7"/>
  <c r="P69" i="7"/>
  <c r="O69" i="7"/>
  <c r="I63" i="7"/>
  <c r="P40" i="7"/>
  <c r="P41" i="7" s="1"/>
  <c r="N47" i="7"/>
  <c r="N18" i="7"/>
  <c r="O63" i="7"/>
  <c r="P63" i="7"/>
  <c r="N25" i="7"/>
  <c r="K63" i="7"/>
  <c r="F63" i="7"/>
  <c r="J63" i="7"/>
  <c r="E63" i="7"/>
  <c r="F15" i="3"/>
  <c r="D15" i="3"/>
  <c r="D7" i="4"/>
  <c r="D6" i="4"/>
  <c r="D5" i="4"/>
  <c r="D4" i="4"/>
  <c r="D3" i="4"/>
  <c r="T34" i="7" l="1"/>
  <c r="U63" i="7"/>
  <c r="N34" i="7"/>
  <c r="P34" i="7"/>
  <c r="A32" i="2"/>
  <c r="A33" i="2"/>
  <c r="A34" i="2"/>
  <c r="A35" i="2"/>
  <c r="A36" i="2"/>
  <c r="A37" i="2"/>
  <c r="A38" i="2"/>
  <c r="A39" i="2"/>
  <c r="B9" i="2" l="1"/>
  <c r="A9" i="2" s="1"/>
  <c r="B10" i="2"/>
  <c r="A10" i="2" s="1"/>
  <c r="B11" i="2"/>
  <c r="A11" i="2" s="1"/>
  <c r="B12" i="2"/>
  <c r="A12" i="2" s="1"/>
  <c r="B8" i="2"/>
  <c r="A8" i="2" s="1"/>
  <c r="B17" i="3"/>
  <c r="B19" i="3"/>
  <c r="B21" i="3"/>
  <c r="B23" i="3"/>
  <c r="B25" i="3"/>
  <c r="B26" i="3"/>
  <c r="B28" i="3"/>
  <c r="B33" i="3"/>
  <c r="B18" i="3"/>
  <c r="B20" i="3"/>
  <c r="B22" i="3"/>
  <c r="B24" i="3"/>
  <c r="B27" i="3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15" i="2"/>
  <c r="C3" i="2"/>
  <c r="C4" i="2" s="1"/>
  <c r="H7" i="3" l="1"/>
  <c r="B34" i="3"/>
  <c r="B30" i="3"/>
  <c r="F7" i="3"/>
  <c r="B32" i="3"/>
  <c r="B29" i="3"/>
  <c r="B31" i="3"/>
  <c r="D7" i="3"/>
  <c r="B7" i="3"/>
  <c r="J7" i="3"/>
  <c r="G7" i="2"/>
  <c r="F7" i="2" s="1"/>
  <c r="E7" i="2" s="1"/>
  <c r="D7" i="2" s="1"/>
  <c r="C7" i="2" s="1"/>
  <c r="D4" i="2"/>
  <c r="D3" i="2"/>
  <c r="G6" i="2" l="1"/>
  <c r="G32" i="2" l="1"/>
  <c r="G33" i="2"/>
  <c r="D31" i="3" s="1"/>
  <c r="G34" i="2"/>
  <c r="D32" i="3" s="1"/>
  <c r="G37" i="2"/>
  <c r="G35" i="2"/>
  <c r="D33" i="3" s="1"/>
  <c r="G38" i="2"/>
  <c r="G36" i="2"/>
  <c r="D34" i="3" s="1"/>
  <c r="G39" i="2"/>
  <c r="G18" i="2"/>
  <c r="G17" i="2"/>
  <c r="G8" i="2"/>
  <c r="B8" i="3" s="1"/>
  <c r="G15" i="2"/>
  <c r="G26" i="2"/>
  <c r="D26" i="3" s="1"/>
  <c r="G31" i="2"/>
  <c r="D30" i="3" s="1"/>
  <c r="G30" i="2"/>
  <c r="D29" i="3" s="1"/>
  <c r="G12" i="2"/>
  <c r="J8" i="3" s="1"/>
  <c r="G9" i="2"/>
  <c r="D8" i="3" s="1"/>
  <c r="G27" i="2"/>
  <c r="D27" i="3" s="1"/>
  <c r="G11" i="2"/>
  <c r="H8" i="3" s="1"/>
  <c r="G10" i="2"/>
  <c r="F8" i="3" s="1"/>
  <c r="G24" i="2"/>
  <c r="G19" i="2"/>
  <c r="G25" i="2"/>
  <c r="G22" i="2"/>
  <c r="G28" i="2"/>
  <c r="G23" i="2"/>
  <c r="G29" i="2"/>
  <c r="G21" i="2"/>
  <c r="G20" i="2"/>
  <c r="G16" i="2"/>
  <c r="D17" i="3" s="1"/>
  <c r="F6" i="2"/>
  <c r="F37" i="2" l="1"/>
  <c r="F38" i="2"/>
  <c r="F34" i="2"/>
  <c r="F32" i="3" s="1"/>
  <c r="H32" i="3" s="1"/>
  <c r="F35" i="2"/>
  <c r="F33" i="3" s="1"/>
  <c r="H33" i="3" s="1"/>
  <c r="F36" i="2"/>
  <c r="F34" i="3" s="1"/>
  <c r="H34" i="3" s="1"/>
  <c r="F39" i="2"/>
  <c r="F33" i="2"/>
  <c r="F31" i="3" s="1"/>
  <c r="H31" i="3" s="1"/>
  <c r="F32" i="2"/>
  <c r="F27" i="2"/>
  <c r="F27" i="3" s="1"/>
  <c r="F31" i="2"/>
  <c r="F30" i="3" s="1"/>
  <c r="H30" i="3" s="1"/>
  <c r="F23" i="2"/>
  <c r="F24" i="3" s="1"/>
  <c r="F28" i="2"/>
  <c r="F28" i="3" s="1"/>
  <c r="F22" i="2"/>
  <c r="F23" i="3" s="1"/>
  <c r="F17" i="2"/>
  <c r="F18" i="3" s="1"/>
  <c r="F10" i="2"/>
  <c r="F18" i="2"/>
  <c r="F19" i="3" s="1"/>
  <c r="F29" i="2"/>
  <c r="F12" i="2"/>
  <c r="H12" i="2" s="1"/>
  <c r="F11" i="2"/>
  <c r="F15" i="2"/>
  <c r="F19" i="2"/>
  <c r="F20" i="3" s="1"/>
  <c r="F26" i="2"/>
  <c r="F26" i="3" s="1"/>
  <c r="F20" i="2"/>
  <c r="F21" i="3" s="1"/>
  <c r="F8" i="2"/>
  <c r="F16" i="2"/>
  <c r="F17" i="3" s="1"/>
  <c r="F25" i="2"/>
  <c r="F30" i="2"/>
  <c r="F29" i="3" s="1"/>
  <c r="H29" i="3" s="1"/>
  <c r="F9" i="2"/>
  <c r="H9" i="2" s="1"/>
  <c r="F24" i="2"/>
  <c r="F25" i="3" s="1"/>
  <c r="F21" i="2"/>
  <c r="F22" i="3" s="1"/>
  <c r="D24" i="3"/>
  <c r="D28" i="3"/>
  <c r="D21" i="3"/>
  <c r="D22" i="3"/>
  <c r="D19" i="3"/>
  <c r="D20" i="3"/>
  <c r="D25" i="3"/>
  <c r="D18" i="3"/>
  <c r="D23" i="3"/>
  <c r="E6" i="2"/>
  <c r="H11" i="2" l="1"/>
  <c r="H9" i="3" s="1"/>
  <c r="E35" i="2"/>
  <c r="E32" i="2"/>
  <c r="E39" i="2"/>
  <c r="E37" i="2"/>
  <c r="E36" i="2"/>
  <c r="E33" i="2"/>
  <c r="E38" i="2"/>
  <c r="E34" i="2"/>
  <c r="E24" i="2"/>
  <c r="E26" i="2"/>
  <c r="E10" i="2"/>
  <c r="E30" i="2"/>
  <c r="E27" i="2"/>
  <c r="E23" i="2"/>
  <c r="E31" i="2"/>
  <c r="E20" i="2"/>
  <c r="E18" i="2"/>
  <c r="E22" i="2"/>
  <c r="E28" i="2"/>
  <c r="E21" i="2"/>
  <c r="E19" i="2"/>
  <c r="E17" i="2"/>
  <c r="E25" i="2"/>
  <c r="E8" i="2"/>
  <c r="E12" i="2"/>
  <c r="E11" i="2"/>
  <c r="E15" i="2"/>
  <c r="E29" i="2"/>
  <c r="E16" i="2"/>
  <c r="E9" i="2"/>
  <c r="H18" i="3"/>
  <c r="H22" i="3"/>
  <c r="H21" i="3"/>
  <c r="H19" i="3"/>
  <c r="H27" i="3"/>
  <c r="H17" i="3"/>
  <c r="H16" i="3"/>
  <c r="H25" i="3"/>
  <c r="H28" i="3"/>
  <c r="H23" i="3"/>
  <c r="H20" i="3"/>
  <c r="H26" i="3"/>
  <c r="H24" i="3"/>
  <c r="J9" i="3"/>
  <c r="D9" i="3"/>
  <c r="H10" i="2"/>
  <c r="F9" i="3" s="1"/>
  <c r="H8" i="2"/>
  <c r="B9" i="3" s="1"/>
  <c r="D6" i="2"/>
  <c r="C6" i="2"/>
  <c r="C39" i="2" l="1"/>
  <c r="C32" i="2"/>
  <c r="C36" i="2"/>
  <c r="C38" i="2"/>
  <c r="C35" i="2"/>
  <c r="C37" i="2"/>
  <c r="C33" i="2"/>
  <c r="C34" i="2"/>
  <c r="C22" i="2"/>
  <c r="C15" i="2"/>
  <c r="C10" i="2"/>
  <c r="C31" i="2"/>
  <c r="C24" i="2"/>
  <c r="C21" i="2"/>
  <c r="C9" i="2"/>
  <c r="C19" i="2"/>
  <c r="C12" i="2"/>
  <c r="C25" i="2"/>
  <c r="C18" i="2"/>
  <c r="C27" i="2"/>
  <c r="C23" i="2"/>
  <c r="C11" i="2"/>
  <c r="C28" i="2"/>
  <c r="C17" i="2"/>
  <c r="C29" i="2"/>
  <c r="C30" i="2"/>
  <c r="C16" i="2"/>
  <c r="C8" i="2"/>
  <c r="C20" i="2"/>
  <c r="C26" i="2"/>
  <c r="D37" i="2"/>
  <c r="D35" i="2"/>
  <c r="D32" i="2"/>
  <c r="D34" i="2"/>
  <c r="D36" i="2"/>
  <c r="D33" i="2"/>
  <c r="D38" i="2"/>
  <c r="D39" i="2"/>
  <c r="D23" i="2"/>
  <c r="D9" i="2"/>
  <c r="D31" i="2"/>
  <c r="D17" i="2"/>
  <c r="D28" i="2"/>
  <c r="D10" i="2"/>
  <c r="D11" i="2"/>
  <c r="D19" i="2"/>
  <c r="D16" i="2"/>
  <c r="D24" i="2"/>
  <c r="D21" i="2"/>
  <c r="D29" i="2"/>
  <c r="D8" i="2"/>
  <c r="D20" i="2"/>
  <c r="D26" i="2"/>
  <c r="D18" i="2"/>
  <c r="D25" i="2"/>
  <c r="D27" i="2"/>
  <c r="D30" i="2"/>
  <c r="D12" i="2"/>
  <c r="D15" i="2"/>
  <c r="D22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<sst xmlns="http://schemas.openxmlformats.org/spreadsheetml/2006/main" count="1096" uniqueCount="324">
  <si>
    <t>ОТЧЁТ О ПРИБЫЛЯХ И УБЫТКАХ</t>
  </si>
  <si>
    <t>Горно-металлургическая компания "Норильский никель"</t>
  </si>
  <si>
    <t>КЛЮЧЕВЫЕ МЕТРИКИ</t>
  </si>
  <si>
    <t>ВСЕ МЕТРИКИ</t>
  </si>
  <si>
    <t>МЕТРИКА</t>
  </si>
  <si>
    <t>ИЗМЕНЕНИЕ В %</t>
  </si>
  <si>
    <t>ТЕНДЕНЦИЯ ЗА 4 года</t>
  </si>
  <si>
    <t>Выручка:</t>
  </si>
  <si>
    <t>КОЭФФИЦИЕНТЫ</t>
  </si>
  <si>
    <t>Норникель</t>
  </si>
  <si>
    <t>Vale</t>
  </si>
  <si>
    <t>Anglo American Platinum</t>
  </si>
  <si>
    <t>Impala Platinum</t>
  </si>
  <si>
    <t>Комментарии</t>
  </si>
  <si>
    <t>Коэффициенты ликвидности</t>
  </si>
  <si>
    <t>Оборотные активы</t>
  </si>
  <si>
    <t>Краткосрочные обязательства</t>
  </si>
  <si>
    <t>Оборотный капитал</t>
  </si>
  <si>
    <t>Авансы выданные</t>
  </si>
  <si>
    <t>Скорректированные оборотные активы</t>
  </si>
  <si>
    <t>Коэффициент текущей ликвидности (CR)</t>
  </si>
  <si>
    <t>Коэффициент срочной ливидности (QR)</t>
  </si>
  <si>
    <t>слишком маленькие значения (не 1-2)</t>
  </si>
  <si>
    <t>Коэффициенты оборачиваемости</t>
  </si>
  <si>
    <t>Дебиторская задолженность</t>
  </si>
  <si>
    <t>Скорректированная дебиторская задолженность на НДС</t>
  </si>
  <si>
    <t>Средняя скорректированная дебиторская задолженность</t>
  </si>
  <si>
    <t>Выручка</t>
  </si>
  <si>
    <t>Период погашения дебиторской задолженности (дн.)</t>
  </si>
  <si>
    <t>Себестоимость реализованной продукции</t>
  </si>
  <si>
    <t>Средняя величина запасов</t>
  </si>
  <si>
    <t>Коэффициет оборачиваемости запасов</t>
  </si>
  <si>
    <t>Период оборачиваемости запасов (дн.)</t>
  </si>
  <si>
    <t>очень большие значения в сравнении с конкурентами</t>
  </si>
  <si>
    <t>Кредиторская задолженность</t>
  </si>
  <si>
    <t>Закупки в кредит (себестоимость реализованных товаров)</t>
  </si>
  <si>
    <t>Период погашения кредиторской задолженности (дн.)</t>
  </si>
  <si>
    <t>Операционный цикл денежных средств (дн.)</t>
  </si>
  <si>
    <t>Коэффициенты рентабельности</t>
  </si>
  <si>
    <t>у всех все падает - не очень хороший знак, но примерно отраслевые значения</t>
  </si>
  <si>
    <t>PBIT</t>
  </si>
  <si>
    <t>Активы</t>
  </si>
  <si>
    <t>Задействованный капитал (CE)</t>
  </si>
  <si>
    <t>Рентабельность задействованного капитала (ROCE)</t>
  </si>
  <si>
    <t>Маржа валовой прибыли (Gross profit margin)</t>
  </si>
  <si>
    <t>Чистая прибыль</t>
  </si>
  <si>
    <t>Маржа чистой прибыли (Net profit margin)</t>
  </si>
  <si>
    <t>Собственный капитал</t>
  </si>
  <si>
    <t>Рентабельность собственного капитала (ROE)</t>
  </si>
  <si>
    <t>Средняя величина активов</t>
  </si>
  <si>
    <t>Рентабельность собственных активов (ROA)</t>
  </si>
  <si>
    <t>Оборачиваемость активов (asset turnover)</t>
  </si>
  <si>
    <t>Коэффициенты финансовой устойчивости</t>
  </si>
  <si>
    <t>Коэффициент финансового рычага</t>
  </si>
  <si>
    <t>Обязательства</t>
  </si>
  <si>
    <t>Коэффициент долговой нагрузки (Debt ratio)</t>
  </si>
  <si>
    <t>Долгосрочные обязательства</t>
  </si>
  <si>
    <t>Gearing</t>
  </si>
  <si>
    <t>заемный капитал у многих растет</t>
  </si>
  <si>
    <t>Leverage</t>
  </si>
  <si>
    <t>Чистая прибыль до налогооблажения</t>
  </si>
  <si>
    <t>Проценты к получению</t>
  </si>
  <si>
    <t>Проценты к уплате</t>
  </si>
  <si>
    <t>EBIT</t>
  </si>
  <si>
    <t>Коэффициент покрытия процентов (Interest cover)</t>
  </si>
  <si>
    <t>падает - это очень плохо, еще и упал ниже минимальных адекватных значений</t>
  </si>
  <si>
    <t>в миллионах долларов США</t>
  </si>
  <si>
    <t>Абсолютное изменение</t>
  </si>
  <si>
    <t>Темп роста</t>
  </si>
  <si>
    <t>Темп прироста</t>
  </si>
  <si>
    <t>2021-2022</t>
  </si>
  <si>
    <t>2022-2023</t>
  </si>
  <si>
    <t>2023-2024</t>
  </si>
  <si>
    <t>Выручка от реализации металлов</t>
  </si>
  <si>
    <t>Выручка от прочей реализации</t>
  </si>
  <si>
    <t>Итого выручка</t>
  </si>
  <si>
    <t>Выручка падает, себестоимость растет</t>
  </si>
  <si>
    <t>Себестоимость реализованных металлов</t>
  </si>
  <si>
    <t>Себестоимость прочей реализации</t>
  </si>
  <si>
    <t>Валовая прибыль</t>
  </si>
  <si>
    <t>Административные расходы</t>
  </si>
  <si>
    <t>Коммерческие расходы</t>
  </si>
  <si>
    <t>Проблемы с логистикой: растут комерческие расходы и убыкти от обеценения нефти</t>
  </si>
  <si>
    <t>Убыток от обесценения нефинансовых активов, нетто</t>
  </si>
  <si>
    <t>Прочие операционные расходы, нетто</t>
  </si>
  <si>
    <t>Прибыль от операционной деятельности</t>
  </si>
  <si>
    <t>(Отрицательные)/положительные курсовые разницы, нетто</t>
  </si>
  <si>
    <t>Финансовые расходы, нетто</t>
  </si>
  <si>
    <t>Прибыль/(убыток) от выбытия дочерних организаций и зарубежных совместных операций</t>
  </si>
  <si>
    <t>Прибыль от инвестиционной деятельности, нетто</t>
  </si>
  <si>
    <t>Прибыль до налогообложения</t>
  </si>
  <si>
    <t>Расходы по налогу на прибыль</t>
  </si>
  <si>
    <t>Прибыль за год</t>
  </si>
  <si>
    <t>ОТЧЁТ О ФИНАНСОВОМ ПОЛОЖЕНИИ</t>
  </si>
  <si>
    <t>АКТИВЫ</t>
  </si>
  <si>
    <t>Внеоборотные активы</t>
  </si>
  <si>
    <t>Основные средства</t>
  </si>
  <si>
    <t>Эффект пересчета в валюту представления</t>
  </si>
  <si>
    <t>Нематериальные активы</t>
  </si>
  <si>
    <t>Инвестиции в ассоциированные организации и совместные предприятия</t>
  </si>
  <si>
    <t>Прочие финансовые активы</t>
  </si>
  <si>
    <t>Отложенные налоговые активы</t>
  </si>
  <si>
    <t>Прочие внеоборотные активы</t>
  </si>
  <si>
    <t>ИТОГО ВНЕОБОРОТНЫЕ АКТИВЫ</t>
  </si>
  <si>
    <t> </t>
  </si>
  <si>
    <t>В целом, Норникель зачем-то в 22 достаточно много денег вложил в оборотные активы, а потом начал больше любить обычные денежки</t>
  </si>
  <si>
    <t>Запасы</t>
  </si>
  <si>
    <t>Торговая и прочая дебиторская задолженность</t>
  </si>
  <si>
    <t>Авансы выданные и расходы будущих периодов</t>
  </si>
  <si>
    <t>Авансовые платежи по налогу на прибыль</t>
  </si>
  <si>
    <t>Прочие налоги к возмещению</t>
  </si>
  <si>
    <t>Денежные средства и их эквиваленты</t>
  </si>
  <si>
    <t>Прочие оборотные активы</t>
  </si>
  <si>
    <t>ИТОГО ОБОРОТНЫЕ АКТИВЫ</t>
  </si>
  <si>
    <t>ИТОГО АКТИВЫ</t>
  </si>
  <si>
    <t>КАПИТАЛ И ОБЯЗАТЕЛЬСТВА</t>
  </si>
  <si>
    <t>Капитал и резервы</t>
  </si>
  <si>
    <t>Уставный капитал</t>
  </si>
  <si>
    <t>Эмиссионный доход</t>
  </si>
  <si>
    <t>Собственные акции, выкупленные у акционеров</t>
  </si>
  <si>
    <t>Резерв накопленных курсовых разниц и прочие резервы</t>
  </si>
  <si>
    <t>Нераспределенная прибыль</t>
  </si>
  <si>
    <t>ИТОГО КАПИТАЛ</t>
  </si>
  <si>
    <t>Тут долгосрочные обязательства сокращались до 2024 года, потом они насали наращиваться</t>
  </si>
  <si>
    <t>Кредиты и займы</t>
  </si>
  <si>
    <t>Обязательства по аренде</t>
  </si>
  <si>
    <t>Оценочные обязательства</t>
  </si>
  <si>
    <t>Социальные обязательства</t>
  </si>
  <si>
    <t>Торговая и прочая долгосрочная кредиторская задолженность</t>
  </si>
  <si>
    <t>Производные финансовые инструменты</t>
  </si>
  <si>
    <t>Отложенные налоговые обязательства</t>
  </si>
  <si>
    <t>Прочие долгосрочные обязательства</t>
  </si>
  <si>
    <t>ИТОГО ДОЛГОСРОЧНЫЕ ОБЯЗАТЕЛЬСТВА</t>
  </si>
  <si>
    <t>В 2023 явно были серьезные проблемы с ликвидностью</t>
  </si>
  <si>
    <t>Торговая и прочая кредиторская задолженность</t>
  </si>
  <si>
    <t>Дивиденды к уплате</t>
  </si>
  <si>
    <t>Обязательства по вознаграждениям работникам</t>
  </si>
  <si>
    <t>Обязательства по налогу на прибыль</t>
  </si>
  <si>
    <t>Прочие налоговые обязательства</t>
  </si>
  <si>
    <t>Резервы</t>
  </si>
  <si>
    <t>ИТОГО КРАТКОСРОЧНЫЕ ОБЯЗАТЕЛЬСТВА</t>
  </si>
  <si>
    <t>ИТОГО ОБЯЗАТЕЛЬСТВА</t>
  </si>
  <si>
    <t>ИТОГО КАПИТАЛ И ОБЯЗАТЕЛЬСТВА</t>
  </si>
  <si>
    <t>Удельный вес к выручке</t>
  </si>
  <si>
    <t>ИТОГО ВЫРУЧКА</t>
  </si>
  <si>
    <t>Выручка падает, себестоимость растет - очень грустная тенденция</t>
  </si>
  <si>
    <t>Себестоимость реал. металлов</t>
  </si>
  <si>
    <t>С-ть проч. реализации</t>
  </si>
  <si>
    <t>Адм. расходы</t>
  </si>
  <si>
    <t>Комм. расходы</t>
  </si>
  <si>
    <t>Убыток от обесценения НФА</t>
  </si>
  <si>
    <t>Прочие оп. расходы</t>
  </si>
  <si>
    <t>Курсовые разницы</t>
  </si>
  <si>
    <t>Фин. расходы</t>
  </si>
  <si>
    <t>Выбытие доч. орг. и заруб. операций</t>
  </si>
  <si>
    <t>Инвест. Деятельность</t>
  </si>
  <si>
    <t>Расх. по налогу на прибыль</t>
  </si>
  <si>
    <t xml:space="preserve"> Удельный вес в итоговой величине</t>
  </si>
  <si>
    <t>Удельный вес в промежуточном значении</t>
  </si>
  <si>
    <t>Инвестиции в асс. орг. и совм. предпр.</t>
  </si>
  <si>
    <t>Торг. и пр. ДЗ</t>
  </si>
  <si>
    <t>Дебиторка стабильно растет - немного странно</t>
  </si>
  <si>
    <t>Ав. выданные и расх. буд. пер.</t>
  </si>
  <si>
    <t>Прочие фин. активы</t>
  </si>
  <si>
    <t>Ав. плат. по налогу на прибыль</t>
  </si>
  <si>
    <t>Пр. налоги к возмещению</t>
  </si>
  <si>
    <t>ДС и их экв.</t>
  </si>
  <si>
    <t>В 2021 году запасов было мало, а денег много, а в 22 наоборот</t>
  </si>
  <si>
    <t>Пр. оборотные активы</t>
  </si>
  <si>
    <t>Торг. и пр. долгосрочная КЗ</t>
  </si>
  <si>
    <t>Производные фин. инстр.</t>
  </si>
  <si>
    <t>Отлож. налоговые об-ва</t>
  </si>
  <si>
    <t>Пр. долгосрочные об-ва</t>
  </si>
  <si>
    <t>Очень большой рост - явно сильно не хватает ликвидности</t>
  </si>
  <si>
    <t>Торг. и пр. КЗ</t>
  </si>
  <si>
    <t>В 2024 как-то мир оживать начал</t>
  </si>
  <si>
    <t>Об-ва по вознагр. работникам</t>
  </si>
  <si>
    <t>Об-ва по налогу на прибыль</t>
  </si>
  <si>
    <t>Пр. налоговые об-ва</t>
  </si>
  <si>
    <t xml:space="preserve">КОНСОЛИДИРОВАННЫЙ </t>
  </si>
  <si>
    <t>За год, закончившийся 31 декабря</t>
  </si>
  <si>
    <t>ОТЧЁТ О СОВОКУПНОМ ДОХОДЕ</t>
  </si>
  <si>
    <t>Прочий совокупный доход/(расход)</t>
  </si>
  <si>
    <t xml:space="preserve">Статьи, которые реклассифицированы или впоследствии могут быть реклассифицированы в состав прибыли или убытка:
</t>
  </si>
  <si>
    <t>Реклассификация резерва курсовых разниц по выбывшим зарубежным операциям, в состав прибыли или убытка</t>
  </si>
  <si>
    <t>Эффект пересчета зарубежных операций и прочие резервы</t>
  </si>
  <si>
    <t>Статьи, которые впоследствии не будут реклассифицированы в состав прибыли или убытка:</t>
  </si>
  <si>
    <t>Прочий совокупный (расход)/доход за период с учетом
эффекта налогообложения</t>
  </si>
  <si>
    <r>
      <t>                 </t>
    </r>
    <r>
      <rPr>
        <b/>
        <sz val="9"/>
        <color rgb="FF000000"/>
        <rFont val="Franklin Gothic Medium"/>
        <family val="2"/>
        <scheme val="minor"/>
      </rPr>
      <t>(1 856) </t>
    </r>
  </si>
  <si>
    <r>
      <t>                 </t>
    </r>
    <r>
      <rPr>
        <b/>
        <sz val="9"/>
        <color rgb="FF000000"/>
        <rFont val="Franklin Gothic Medium"/>
        <family val="2"/>
        <scheme val="minor"/>
      </rPr>
      <t>(1 020) </t>
    </r>
  </si>
  <si>
    <t>Общий совокупный доход за период с учетом
эффекта налогообложения</t>
  </si>
  <si>
    <t>Амортизация</t>
  </si>
  <si>
    <t>КОНСОЛИДИРОВАННЫЙ</t>
  </si>
  <si>
    <t>Себестоимость проданных товаров и оказанных услуг</t>
  </si>
  <si>
    <t>Коммерческие и административные расходы</t>
  </si>
  <si>
    <t>Исследования и разработки</t>
  </si>
  <si>
    <t>Подготовка к эксплуатации и остановка производства</t>
  </si>
  <si>
    <t>Убыток от обесценения нефинансовых активов нетто</t>
  </si>
  <si>
    <t>Прочие операционные расходы нетто</t>
  </si>
  <si>
    <t>Финансовые доходы</t>
  </si>
  <si>
    <t>Финансовые расходы нетто</t>
  </si>
  <si>
    <t>Результаты участия в акционерном капитале и прочие результаты деятельности ассоциированных компаний и совместных предприятий</t>
  </si>
  <si>
    <t xml:space="preserve">Прочие финансовые статьи нетто	</t>
  </si>
  <si>
    <t xml:space="preserve">Статьи которые реклассифицированы или впоследствии могут быть реклассифицированы в состав прибыли или убытка:
</t>
  </si>
  <si>
    <t xml:space="preserve">Хеджирование чистых инвестиций </t>
  </si>
  <si>
    <t>Хеджирование денежных потоков</t>
  </si>
  <si>
    <t>-</t>
  </si>
  <si>
    <t>Реклассификация накопленной корректировки при пересчете в отчет о прибылях и убытках</t>
  </si>
  <si>
    <t>Статьи которые впоследствии не будут реклассифицированы в состав прибыли или убытка:</t>
  </si>
  <si>
    <t>Корректировки при пересчете данных Материнской компании</t>
  </si>
  <si>
    <t>Обязательства по пенсионным выплатам</t>
  </si>
  <si>
    <t>Корректировки справедливой стоимости долей участия в капитале оцениваемых по справедливой стоимости через прочий совокупный доход</t>
  </si>
  <si>
    <t>Краткосрочные инвестиции</t>
  </si>
  <si>
    <t>Подлежащие возмещению налоги</t>
  </si>
  <si>
    <t>Судебные депозиты</t>
  </si>
  <si>
    <t>Другое</t>
  </si>
  <si>
    <t>Внеоборотные активы предназначенные для продажи</t>
  </si>
  <si>
    <t>Отложенные налоги на прибыль</t>
  </si>
  <si>
    <t>Инвестиции в ассоциированные и совместные предприятия</t>
  </si>
  <si>
    <t>Основные средства оборужование</t>
  </si>
  <si>
    <t>Текущие обязательства</t>
  </si>
  <si>
    <t>Поставщики и подрядчики</t>
  </si>
  <si>
    <t>Договоры аренды</t>
  </si>
  <si>
    <t>Прочие финансовые обязательства</t>
  </si>
  <si>
    <t>Налоги подлежащие уплате</t>
  </si>
  <si>
    <t>Программы расчетов ("РЕФИС")</t>
  </si>
  <si>
    <t>Обязательства  связанные с Брумадиньо</t>
  </si>
  <si>
    <t>Обязательства связанные с ассоциированными компаниями и совместными предприятиями</t>
  </si>
  <si>
    <t>Определение характеристик плотин и обязательств по выбытию активов</t>
  </si>
  <si>
    <t>Положения для судебного разбирательства</t>
  </si>
  <si>
    <t>Выплаты сотрудникам</t>
  </si>
  <si>
    <t>Выплачиваемые дивиденды</t>
  </si>
  <si>
    <t>Обязательства связанные с внеоборотными активами предназначенными для продажи</t>
  </si>
  <si>
    <t>Долговые обязательства акционеров с участием</t>
  </si>
  <si>
    <t>Потоковые транзакции</t>
  </si>
  <si>
    <t>Собственный капитал приходящийся на долю акционеров Vale S.A.</t>
  </si>
  <si>
    <t>Капитал относящийся к неконтролирующим долям участия</t>
  </si>
  <si>
    <t>в миллионах южноафриканских рэнд</t>
  </si>
  <si>
    <t>в миллионах долларов США (пересчёт по среднегодовому курсу)</t>
  </si>
  <si>
    <t>Курс USD</t>
  </si>
  <si>
    <t>Валовой доход</t>
  </si>
  <si>
    <t>Year-end rate (R/USD):</t>
  </si>
  <si>
    <t>Выплаченные комиссионные</t>
  </si>
  <si>
    <t>Себестоимость продаж</t>
  </si>
  <si>
    <t>Финансовый доход</t>
  </si>
  <si>
    <t>Полученные дивиденды</t>
  </si>
  <si>
    <t>—</t>
  </si>
  <si>
    <t>Average rate:</t>
  </si>
  <si>
    <t>Прочие доходы</t>
  </si>
  <si>
    <t>Резерв на покрытие ожидаемых кредитных убытков</t>
  </si>
  <si>
    <t>Оценка справедливой стоимости финансовых активов и обязательств и инвестиций в экологические трасты</t>
  </si>
  <si>
    <t>Финансовые расходы</t>
  </si>
  <si>
    <t>Доля (убытка)/ прибыли от предприятий, учитываемых в составе собственного капитала</t>
  </si>
  <si>
    <t>Расходы на развитие рынка и продвижение продукции</t>
  </si>
  <si>
    <t>Списание незавершенных капитальных работ и основных средств</t>
  </si>
  <si>
    <t>Прочие расходы</t>
  </si>
  <si>
    <t>Прибыль от пересчета иностранной валюты</t>
  </si>
  <si>
    <t>Чистые убытки по инвестициям в долевые инструменты, оцениваемым по справедливой стоимости через прочий совокупный доход</t>
  </si>
  <si>
    <t>доход (FVTOCI)</t>
  </si>
  <si>
    <t>Налоговые последствия</t>
  </si>
  <si>
    <t>Общий совокупный доход за период</t>
  </si>
  <si>
    <t>в миллионах долларов США (пересчёт по курсу на конец года)</t>
  </si>
  <si>
    <t>Незавершенные капитальные работы</t>
  </si>
  <si>
    <t>Инвестиции, принадлежащие экологическим фондам</t>
  </si>
  <si>
    <t>Гудвил</t>
  </si>
  <si>
    <t>Отложенное налогообложение</t>
  </si>
  <si>
    <t>Прочая дебиторская задолженность</t>
  </si>
  <si>
    <t>Текущие активы</t>
  </si>
  <si>
    <t>Прочие активы</t>
  </si>
  <si>
    <t>Налогообложение</t>
  </si>
  <si>
    <t>ИТОГО ТЕКУЩИЕ АКТИВЫ</t>
  </si>
  <si>
    <t>Акционерный капитал и резервы</t>
  </si>
  <si>
    <t>Акционерный капитал</t>
  </si>
  <si>
    <t>Резерв по пересчету иностранной валюты</t>
  </si>
  <si>
    <t>Переоценка инвестиций в акционерный капитал, безвозвратно отраженных в FVTOCI</t>
  </si>
  <si>
    <t>Неконтролирующие доли участия</t>
  </si>
  <si>
    <t>ИТОГО АКЦИОНЕРНЫЙ КАПИТАЛ</t>
  </si>
  <si>
    <t>Экологические обязательства</t>
  </si>
  <si>
    <t>Заемные средства</t>
  </si>
  <si>
    <t>Прочие обязательства</t>
  </si>
  <si>
    <t>Резерв</t>
  </si>
  <si>
    <t>Положение о выплате на основе акций</t>
  </si>
  <si>
    <t>Выплаты сотрудникам акциями</t>
  </si>
  <si>
    <t>За год, закончившийся 30 июня</t>
  </si>
  <si>
    <t>Курс USD/R</t>
  </si>
  <si>
    <t>Обесценение</t>
  </si>
  <si>
    <t>МСФО (IFRS) 2 "Расходы по сделке B-BBEE"</t>
  </si>
  <si>
    <t>Убыток от переоценки ранее удерживаемых инвестиций в акционерный капитал до приобретения</t>
  </si>
  <si>
    <t>– Royal Bafokeng Platinum</t>
  </si>
  <si>
    <t>Финансовые затраты</t>
  </si>
  <si>
    <t>Чистая прибыль/(убытки) от операций с иностранной валютой</t>
  </si>
  <si>
    <t>Доля (убытка)/прибыли предприятий, учитываемых в составе собственного капитала</t>
  </si>
  <si>
    <t>Курсовые разницы при пересчете зарубежных операций</t>
  </si>
  <si>
    <t>Отложенный налог по нему</t>
  </si>
  <si>
    <t>Финансовые активы, оцениваемые по справедливой стоимости через прочий совокупный доход</t>
  </si>
  <si>
    <t>Актуарный (убыток) / прибыль от медицинского пособия по окончании трудовой деятельности</t>
  </si>
  <si>
    <t>Прочий совокупный (расход)/доход за период</t>
  </si>
  <si>
    <t xml:space="preserve">Общий совокупный доход за период </t>
  </si>
  <si>
    <t>Инвестиционная собственность</t>
  </si>
  <si>
    <t>Goodwill</t>
  </si>
  <si>
    <t>Инвестиции в предприятия, учитываемые в капитале</t>
  </si>
  <si>
    <t>Инвестиции в восстановление окружающей среды</t>
  </si>
  <si>
    <t>Авансовые платежи и прочие активы</t>
  </si>
  <si>
    <t>Текущая задолженность по налогу</t>
  </si>
  <si>
    <t>СОБСТВЕННЫЙ КАПИТАЛ И ОБЯЗАТЕЛЬСТВА</t>
  </si>
  <si>
    <t>Резерв для выплат на основе акций</t>
  </si>
  <si>
    <t>Другие компоненты собственного капитала</t>
  </si>
  <si>
    <t>Собственный капитал, приходящийся на долю владельцев Компании</t>
  </si>
  <si>
    <t>Неконтролирующие доли в капитале</t>
  </si>
  <si>
    <t>Общий собственный капитал</t>
  </si>
  <si>
    <t>Отложенный налог</t>
  </si>
  <si>
    <t>Доходы будущих периодов</t>
  </si>
  <si>
    <t>Текущий налог, подлежащий уплате</t>
  </si>
  <si>
    <t>ОПРЕДЕЛИТЕ ЗДЕСЬ КЛЮЧЕВЫЕ МЕТРИКИ</t>
  </si>
  <si>
    <t>Этот лист используется для выполнения расчетов финансового отчета и должен оставаться скрытым.</t>
  </si>
  <si>
    <t>Позиция</t>
  </si>
  <si>
    <t>Текущий год</t>
  </si>
  <si>
    <t>Предыдущий год</t>
  </si>
  <si>
    <t>Ключевые метрики</t>
  </si>
  <si>
    <t>Все метрики (можно определить до 25 метрик)</t>
  </si>
  <si>
    <t>Прочее</t>
  </si>
  <si>
    <t>Anglo American</t>
  </si>
  <si>
    <t>Impala</t>
  </si>
  <si>
    <t>мин, желаемое 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</si>
</sst>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&quot;р.&quot;"/>
    <numFmt numFmtId="165" formatCode="0&quot; &quot;%"/>
    <numFmt numFmtId="166" formatCode="#,##0.00\ &quot;₽&quot;"/>
    <numFmt numFmtId="167" formatCode="#,##0\ &quot;₽&quot;"/>
    <numFmt numFmtId="168" formatCode="0_);\(0\)"/>
    <numFmt numFmtId="169" formatCode="0.0"/>
    <numFmt numFmtId="170" formatCode="0.0%"/>
  </numFmts>
  <fonts count="60">
    <font>
      <sz val="11"/>
      <color theme="1" tint="0.34998626667073579"/>
      <name val="Calibri"/>
      <family val="2"/>
      <charset val="204"/>
    </font>
    <font>
      <b/>
      <sz val="11"/>
      <color theme="1"/>
      <name val="Franklin Gothic Medium"/>
      <family val="2"/>
      <scheme val="minor"/>
    </font>
    <font>
      <sz val="11"/>
      <color theme="1"/>
      <name val="Calibri"/>
      <family val="2"/>
    </font>
    <font>
      <sz val="11"/>
      <color theme="1" tint="0.499984740745262"/>
      <name val="Franklin Gothic Medium"/>
      <family val="2"/>
      <scheme val="minor"/>
    </font>
    <font>
      <i/>
      <sz val="11"/>
      <color theme="1" tint="0.499984740745262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b/>
      <sz val="11"/>
      <color theme="0"/>
      <name val="Franklin Gothic Medium"/>
      <family val="2"/>
      <scheme val="minor"/>
    </font>
    <font>
      <sz val="18"/>
      <color theme="1" tint="0.34998626667073579"/>
      <name val="Franklin Gothic Medium"/>
      <family val="2"/>
      <scheme val="minor"/>
    </font>
    <font>
      <sz val="20"/>
      <color theme="0" tint="-0.34998626667073579"/>
      <name val="Euphemia"/>
      <family val="2"/>
      <scheme val="major"/>
    </font>
    <font>
      <sz val="20"/>
      <color theme="0" tint="-0.34998626667073579"/>
      <name val="Franklin Gothic Medium"/>
      <family val="2"/>
      <scheme val="minor"/>
    </font>
    <font>
      <sz val="14"/>
      <color theme="0" tint="-0.34998626667073579"/>
      <name val="Franklin Gothic Medium"/>
      <family val="2"/>
      <scheme val="minor"/>
    </font>
    <font>
      <sz val="12"/>
      <color theme="0" tint="-0.34998626667073579"/>
      <name val="Franklin Gothic Medium"/>
      <family val="2"/>
      <scheme val="minor"/>
    </font>
    <font>
      <sz val="11"/>
      <color theme="4" tint="-0.249977111117893"/>
      <name val="Franklin Gothic Medium"/>
      <family val="2"/>
      <scheme val="minor"/>
    </font>
    <font>
      <sz val="14"/>
      <color theme="3" tint="0.499984740745262"/>
      <name val="Franklin Gothic Medium"/>
      <family val="2"/>
      <scheme val="minor"/>
    </font>
    <font>
      <b/>
      <sz val="9"/>
      <color theme="0"/>
      <name val="Franklin Gothic Medium"/>
      <family val="2"/>
      <scheme val="minor"/>
    </font>
    <font>
      <sz val="28"/>
      <color theme="4"/>
      <name val="Calibri"/>
      <family val="2"/>
      <charset val="204"/>
    </font>
    <font>
      <sz val="16"/>
      <color theme="0" tint="-0.34998626667073579"/>
      <name val="Calibri"/>
      <family val="2"/>
      <charset val="204"/>
    </font>
    <font>
      <b/>
      <sz val="11"/>
      <color theme="1" tint="0.34998626667073579"/>
      <name val="Calibri"/>
      <family val="2"/>
      <charset val="204"/>
    </font>
    <font>
      <sz val="10"/>
      <color rgb="FF000000"/>
      <name val="Franklin Gothic Medium"/>
      <family val="2"/>
      <scheme val="minor"/>
    </font>
    <font>
      <b/>
      <sz val="9"/>
      <name val="Franklin Gothic Medium"/>
      <family val="2"/>
      <scheme val="minor"/>
    </font>
    <font>
      <sz val="9"/>
      <color rgb="FF000000"/>
      <name val="Franklin Gothic Medium"/>
      <family val="2"/>
      <scheme val="minor"/>
    </font>
    <font>
      <sz val="9"/>
      <name val="Franklin Gothic Medium"/>
      <family val="2"/>
      <scheme val="minor"/>
    </font>
    <font>
      <b/>
      <sz val="9"/>
      <color rgb="FF000000"/>
      <name val="Franklin Gothic Medium"/>
      <family val="2"/>
      <scheme val="minor"/>
    </font>
    <font>
      <sz val="9"/>
      <color theme="1" tint="0.34998626667073579"/>
      <name val="Franklin Gothic Medium"/>
      <family val="2"/>
      <scheme val="minor"/>
    </font>
    <font>
      <b/>
      <sz val="14"/>
      <name val="Franklin Gothic Medium"/>
      <family val="2"/>
      <scheme val="minor"/>
    </font>
    <font>
      <b/>
      <sz val="14"/>
      <color theme="0"/>
      <name val="Franklin Gothic Medium"/>
      <family val="2"/>
      <scheme val="minor"/>
    </font>
    <font>
      <sz val="20"/>
      <color theme="4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</font>
    <font>
      <sz val="9"/>
      <color theme="1" tint="0.34998626667073579"/>
      <name val="CIDFont+F1"/>
    </font>
    <font>
      <b/>
      <sz val="9"/>
      <color rgb="FF003D7A"/>
      <name val="HelveticaNeueLTStd"/>
    </font>
    <font>
      <sz val="9"/>
      <color rgb="FF3A3A3A"/>
      <name val="HelveticaNeueLTStd"/>
    </font>
    <font>
      <b/>
      <sz val="14"/>
      <color rgb="FF000000"/>
      <name val="Calibri"/>
      <family val="2"/>
    </font>
    <font>
      <b/>
      <sz val="20"/>
      <color rgb="FF000000"/>
      <name val="Calibri"/>
      <family val="2"/>
    </font>
    <font>
      <sz val="48"/>
      <color theme="4"/>
      <name val="Calibri"/>
      <family val="2"/>
      <charset val="204"/>
    </font>
    <font>
      <sz val="12"/>
      <color rgb="FF000000"/>
      <name val="Calibri"/>
      <family val="2"/>
    </font>
    <font>
      <sz val="11"/>
      <name val="Calibri"/>
      <family val="2"/>
      <charset val="204"/>
    </font>
    <font>
      <sz val="36"/>
      <color theme="4"/>
      <name val="Calibri"/>
      <family val="2"/>
    </font>
    <font>
      <sz val="22"/>
      <color theme="4"/>
      <name val="Calibri"/>
      <family val="2"/>
      <charset val="204"/>
    </font>
    <font>
      <sz val="11"/>
      <name val="Aptos Narrow"/>
    </font>
    <font>
      <b/>
      <sz val="14"/>
      <name val="Calibri"/>
      <family val="2"/>
    </font>
    <font>
      <sz val="36"/>
      <color theme="6"/>
      <name val="Calibri"/>
      <family val="2"/>
    </font>
    <font>
      <b/>
      <sz val="11"/>
      <name val="Calibri"/>
      <family val="2"/>
    </font>
    <font>
      <sz val="11"/>
      <color theme="1" tint="0.34998626667073579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3"/>
      <color theme="4"/>
      <name val="Calibri"/>
      <family val="2"/>
    </font>
    <font>
      <b/>
      <sz val="11"/>
      <color theme="1" tint="0.34998626667073579"/>
      <name val="Calibri"/>
      <family val="2"/>
    </font>
    <font>
      <b/>
      <sz val="16"/>
      <color theme="4"/>
      <name val="Calibri"/>
      <family val="2"/>
    </font>
    <font>
      <sz val="9"/>
      <color theme="1" tint="0.34998626667073579"/>
      <name val="Calibri"/>
      <family val="2"/>
      <charset val="204"/>
    </font>
    <font>
      <sz val="9"/>
      <color rgb="FF242424"/>
      <name val="Franklin Gothic Medium"/>
      <family val="2"/>
      <scheme val="minor"/>
    </font>
    <font>
      <sz val="11"/>
      <color theme="1" tint="0.34998626667073579"/>
      <name val="Franklin Gothic Medium"/>
      <family val="2"/>
      <scheme val="minor"/>
    </font>
    <font>
      <b/>
      <sz val="8"/>
      <name val="Franklin Gothic Medium"/>
      <family val="2"/>
      <scheme val="minor"/>
    </font>
    <font>
      <sz val="9"/>
      <color theme="1"/>
      <name val="Franklin Gothic Medium"/>
      <family val="2"/>
      <scheme val="minor"/>
    </font>
    <font>
      <sz val="11"/>
      <name val="Franklin Gothic Medium"/>
      <family val="2"/>
      <scheme val="minor"/>
    </font>
    <font>
      <b/>
      <sz val="9"/>
      <color theme="1"/>
      <name val="Franklin Gothic Medium"/>
      <family val="2"/>
      <scheme val="minor"/>
    </font>
    <font>
      <sz val="10"/>
      <color theme="1" tint="0.34998626667073579"/>
      <name val="CIDFont+F3"/>
    </font>
    <font>
      <sz val="12"/>
      <color rgb="FF000000"/>
      <name val="Calibri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EE9D1"/>
        <bgColor indexed="64"/>
      </patternFill>
    </fill>
  </fills>
  <borders count="57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dashed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/>
      <diagonal/>
    </border>
    <border>
      <left/>
      <right/>
      <top/>
      <bottom style="medium">
        <color theme="1" tint="0.34998626667073579"/>
      </bottom>
      <diagonal/>
    </border>
    <border>
      <left style="medium">
        <color theme="1" tint="0.34998626667073579"/>
      </left>
      <right/>
      <top style="dashed">
        <color theme="1" tint="0.34998626667073579"/>
      </top>
      <bottom/>
      <diagonal/>
    </border>
    <border>
      <left/>
      <right style="medium">
        <color theme="1" tint="0.34998626667073579"/>
      </right>
      <top style="dashed">
        <color theme="1" tint="0.34998626667073579"/>
      </top>
      <bottom/>
      <diagonal/>
    </border>
    <border>
      <left/>
      <right/>
      <top style="dashed">
        <color theme="1" tint="0.34998626667073579"/>
      </top>
      <bottom/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34998626667073579"/>
      </left>
      <right style="thin">
        <color theme="0" tint="-0.14996795556505021"/>
      </right>
      <top style="medium">
        <color theme="0" tint="-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34998626667073579"/>
      </right>
      <top style="medium">
        <color theme="0" tint="-0.34998626667073579"/>
      </top>
      <bottom style="thin">
        <color theme="0" tint="-0.14996795556505021"/>
      </bottom>
      <diagonal/>
    </border>
    <border>
      <left style="medium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medium">
        <color theme="0" tint="-0.34998626667073579"/>
      </bottom>
      <diagonal/>
    </border>
    <border>
      <left style="thin">
        <color theme="0" tint="-0.14996795556505021"/>
      </left>
      <right style="medium">
        <color theme="0" tint="-0.34998626667073579"/>
      </right>
      <top style="thin">
        <color theme="0" tint="-0.14996795556505021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 style="dashed">
        <color theme="1" tint="0.34998626667073579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 style="dashed">
        <color theme="1" tint="0.34998626667073579"/>
      </bottom>
      <diagonal/>
    </border>
    <border>
      <left style="medium">
        <color theme="1" tint="0.34998626667073579"/>
      </left>
      <right/>
      <top/>
      <bottom style="dashed">
        <color theme="1" tint="0.34998626667073579"/>
      </bottom>
      <diagonal/>
    </border>
    <border>
      <left/>
      <right style="medium">
        <color theme="1" tint="0.34998626667073579"/>
      </right>
      <top/>
      <bottom style="dashed">
        <color theme="1" tint="0.34998626667073579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6795556505021"/>
      </bottom>
      <diagonal/>
    </border>
  </borders>
  <cellStyleXfs count="9">
    <xf numFmtId="0" fontId="0" fillId="0" borderId="0" applyFill="0" applyBorder="0">
      <alignment vertical="center"/>
    </xf>
    <xf numFmtId="165" fontId="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2" applyNumberFormat="0" applyFill="0" applyAlignment="0" applyProtection="0"/>
    <xf numFmtId="0" fontId="7" fillId="0" borderId="0" applyNumberFormat="0" applyFill="0" applyBorder="0" applyAlignment="0" applyProtection="0"/>
    <xf numFmtId="0" fontId="14" fillId="2" borderId="0">
      <alignment horizontal="center" vertical="center"/>
    </xf>
    <xf numFmtId="164" fontId="9" fillId="0" borderId="7">
      <alignment horizontal="center" vertical="center"/>
    </xf>
    <xf numFmtId="9" fontId="11" fillId="0" borderId="0">
      <alignment horizontal="left" vertical="center" indent="1"/>
    </xf>
    <xf numFmtId="0" fontId="13" fillId="0" borderId="0" applyNumberFormat="0" applyFill="0" applyBorder="0" applyAlignment="0" applyProtection="0"/>
  </cellStyleXfs>
  <cellXfs count="54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" fillId="0" borderId="0" xfId="0" applyFont="1">
      <alignment vertic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1" applyFont="1"/>
    <xf numFmtId="0" fontId="0" fillId="0" borderId="0" xfId="0" applyAlignment="1">
      <alignment horizontal="center" vertical="center"/>
    </xf>
    <xf numFmtId="9" fontId="5" fillId="0" borderId="0" xfId="0" applyNumberFormat="1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0" fontId="15" fillId="0" borderId="0" xfId="2"/>
    <xf numFmtId="0" fontId="16" fillId="0" borderId="2" xfId="3"/>
    <xf numFmtId="0" fontId="16" fillId="0" borderId="2" xfId="3" applyFill="1"/>
    <xf numFmtId="0" fontId="1" fillId="0" borderId="0" xfId="0" applyFont="1" applyAlignment="1"/>
    <xf numFmtId="9" fontId="10" fillId="0" borderId="0" xfId="1" applyNumberFormat="1" applyFont="1" applyAlignment="1">
      <alignment horizontal="left" vertical="center" indent="1"/>
    </xf>
    <xf numFmtId="0" fontId="0" fillId="0" borderId="0" xfId="0" applyBorder="1">
      <alignment vertical="center"/>
    </xf>
    <xf numFmtId="9" fontId="5" fillId="0" borderId="0" xfId="0" applyNumberFormat="1" applyFont="1" applyBorder="1" applyAlignment="1">
      <alignment horizontal="left" vertical="center" indent="1"/>
    </xf>
    <xf numFmtId="0" fontId="0" fillId="0" borderId="9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165" fontId="0" fillId="0" borderId="13" xfId="1" applyFont="1" applyFill="1" applyBorder="1" applyAlignment="1">
      <alignment horizontal="center" vertical="center"/>
    </xf>
    <xf numFmtId="165" fontId="0" fillId="0" borderId="14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indent="1"/>
    </xf>
    <xf numFmtId="0" fontId="3" fillId="0" borderId="0" xfId="0" applyFont="1">
      <alignment vertical="center"/>
    </xf>
    <xf numFmtId="0" fontId="12" fillId="0" borderId="0" xfId="0" applyFont="1">
      <alignment vertical="center"/>
    </xf>
    <xf numFmtId="0" fontId="16" fillId="0" borderId="2" xfId="3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16" fillId="0" borderId="21" xfId="3" applyBorder="1"/>
    <xf numFmtId="0" fontId="0" fillId="0" borderId="8" xfId="0" applyBorder="1" applyAlignment="1"/>
    <xf numFmtId="0" fontId="0" fillId="0" borderId="23" xfId="0" applyBorder="1">
      <alignment vertical="center"/>
    </xf>
    <xf numFmtId="0" fontId="0" fillId="0" borderId="8" xfId="0" applyBorder="1" applyAlignment="1">
      <alignment horizontal="left" indent="1"/>
    </xf>
    <xf numFmtId="164" fontId="9" fillId="0" borderId="4" xfId="6" applyBorder="1">
      <alignment horizontal="center" vertical="center"/>
    </xf>
    <xf numFmtId="0" fontId="7" fillId="0" borderId="0" xfId="4" applyAlignment="1">
      <alignment vertical="center"/>
    </xf>
    <xf numFmtId="0" fontId="14" fillId="2" borderId="27" xfId="5" applyBorder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165" fontId="11" fillId="0" borderId="22" xfId="1" applyFont="1" applyBorder="1" applyAlignment="1">
      <alignment horizontal="left" vertical="center" indent="1"/>
    </xf>
    <xf numFmtId="166" fontId="0" fillId="0" borderId="14" xfId="0" applyNumberFormat="1" applyFill="1" applyBorder="1">
      <alignment vertical="center"/>
    </xf>
    <xf numFmtId="167" fontId="9" fillId="0" borderId="24" xfId="6" applyNumberFormat="1" applyBorder="1">
      <alignment horizontal="center" vertical="center"/>
    </xf>
    <xf numFmtId="0" fontId="15" fillId="0" borderId="0" xfId="2" applyAlignment="1"/>
    <xf numFmtId="0" fontId="0" fillId="0" borderId="18" xfId="0" applyBorder="1" applyAlignment="1">
      <alignment horizontal="left" vertical="center" wrapText="1"/>
    </xf>
    <xf numFmtId="0" fontId="0" fillId="0" borderId="18" xfId="0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0" fillId="0" borderId="14" xfId="0" applyFill="1" applyBorder="1" applyAlignment="1">
      <alignment horizontal="left" vertical="center" wrapText="1" indent="1"/>
    </xf>
    <xf numFmtId="0" fontId="17" fillId="0" borderId="13" xfId="0" applyFont="1" applyFill="1" applyBorder="1" applyAlignment="1">
      <alignment horizontal="left" vertical="center" wrapText="1" indent="1"/>
    </xf>
    <xf numFmtId="0" fontId="17" fillId="0" borderId="14" xfId="0" applyFont="1" applyFill="1" applyBorder="1" applyAlignment="1">
      <alignment horizontal="left" vertical="center" wrapText="1" indent="1"/>
    </xf>
    <xf numFmtId="166" fontId="17" fillId="0" borderId="14" xfId="0" applyNumberFormat="1" applyFont="1" applyFill="1" applyBorder="1">
      <alignment vertical="center"/>
    </xf>
    <xf numFmtId="165" fontId="17" fillId="0" borderId="14" xfId="1" applyFont="1" applyFill="1" applyBorder="1" applyAlignment="1">
      <alignment horizontal="center" vertical="center"/>
    </xf>
    <xf numFmtId="166" fontId="0" fillId="0" borderId="14" xfId="0" applyNumberFormat="1" applyBorder="1">
      <alignment vertical="center"/>
    </xf>
    <xf numFmtId="0" fontId="0" fillId="0" borderId="0" xfId="0" applyFill="1">
      <alignment vertical="center"/>
    </xf>
    <xf numFmtId="0" fontId="23" fillId="0" borderId="0" xfId="0" applyFont="1" applyBorder="1">
      <alignment vertical="center"/>
    </xf>
    <xf numFmtId="0" fontId="22" fillId="0" borderId="0" xfId="0" applyFont="1" applyFill="1" applyBorder="1" applyAlignment="1">
      <alignment vertical="center" wrapText="1"/>
    </xf>
    <xf numFmtId="0" fontId="23" fillId="0" borderId="0" xfId="0" applyFont="1" applyBorder="1" applyAlignment="1">
      <alignment vertical="center" wrapText="1"/>
    </xf>
    <xf numFmtId="0" fontId="25" fillId="2" borderId="0" xfId="0" applyFont="1" applyFill="1" applyBorder="1" applyAlignment="1">
      <alignment horizontal="left" vertical="center" indent="1"/>
    </xf>
    <xf numFmtId="168" fontId="22" fillId="0" borderId="0" xfId="0" applyNumberFormat="1" applyFont="1" applyBorder="1" applyAlignment="1">
      <alignment horizontal="right" vertical="center" wrapText="1"/>
    </xf>
    <xf numFmtId="168" fontId="22" fillId="0" borderId="0" xfId="0" applyNumberFormat="1" applyFont="1" applyFill="1" applyBorder="1" applyAlignment="1">
      <alignment horizontal="right" vertical="center" wrapText="1"/>
    </xf>
    <xf numFmtId="168" fontId="22" fillId="0" borderId="31" xfId="0" applyNumberFormat="1" applyFont="1" applyFill="1" applyBorder="1" applyAlignment="1">
      <alignment horizontal="right" vertical="center" wrapText="1"/>
    </xf>
    <xf numFmtId="168" fontId="20" fillId="0" borderId="0" xfId="0" applyNumberFormat="1" applyFont="1" applyFill="1" applyBorder="1" applyAlignment="1">
      <alignment horizontal="right" vertical="center" wrapText="1"/>
    </xf>
    <xf numFmtId="168" fontId="20" fillId="0" borderId="31" xfId="0" applyNumberFormat="1" applyFont="1" applyFill="1" applyBorder="1" applyAlignment="1">
      <alignment horizontal="right" vertical="center" wrapText="1"/>
    </xf>
    <xf numFmtId="168" fontId="20" fillId="0" borderId="0" xfId="0" applyNumberFormat="1" applyFont="1" applyBorder="1">
      <alignment vertical="center"/>
    </xf>
    <xf numFmtId="168" fontId="20" fillId="0" borderId="31" xfId="0" applyNumberFormat="1" applyFont="1" applyBorder="1">
      <alignment vertical="center"/>
    </xf>
    <xf numFmtId="168" fontId="23" fillId="0" borderId="0" xfId="0" applyNumberFormat="1" applyFont="1" applyBorder="1">
      <alignment vertical="center"/>
    </xf>
    <xf numFmtId="168" fontId="20" fillId="0" borderId="0" xfId="0" applyNumberFormat="1" applyFont="1" applyBorder="1" applyAlignment="1">
      <alignment vertical="center" wrapText="1"/>
    </xf>
    <xf numFmtId="168" fontId="20" fillId="0" borderId="31" xfId="0" applyNumberFormat="1" applyFont="1" applyBorder="1" applyAlignment="1">
      <alignment vertical="center" wrapText="1"/>
    </xf>
    <xf numFmtId="168" fontId="23" fillId="0" borderId="0" xfId="0" applyNumberFormat="1" applyFont="1" applyFill="1" applyBorder="1">
      <alignment vertical="center"/>
    </xf>
    <xf numFmtId="168" fontId="23" fillId="0" borderId="31" xfId="0" applyNumberFormat="1" applyFont="1" applyFill="1" applyBorder="1">
      <alignment vertical="center"/>
    </xf>
    <xf numFmtId="168" fontId="23" fillId="0" borderId="31" xfId="0" applyNumberFormat="1" applyFont="1" applyBorder="1">
      <alignment vertical="center"/>
    </xf>
    <xf numFmtId="168" fontId="22" fillId="0" borderId="0" xfId="0" applyNumberFormat="1" applyFont="1" applyBorder="1">
      <alignment vertical="center"/>
    </xf>
    <xf numFmtId="168" fontId="21" fillId="0" borderId="0" xfId="0" applyNumberFormat="1" applyFont="1" applyBorder="1" applyAlignment="1">
      <alignment vertical="center" wrapText="1"/>
    </xf>
    <xf numFmtId="168" fontId="21" fillId="0" borderId="31" xfId="0" applyNumberFormat="1" applyFont="1" applyBorder="1" applyAlignment="1">
      <alignment vertical="center" wrapText="1"/>
    </xf>
    <xf numFmtId="168" fontId="20" fillId="0" borderId="0" xfId="0" applyNumberFormat="1" applyFont="1" applyBorder="1" applyAlignment="1">
      <alignment horizontal="right" vertical="center" wrapText="1"/>
    </xf>
    <xf numFmtId="168" fontId="20" fillId="0" borderId="0" xfId="0" applyNumberFormat="1" applyFont="1" applyBorder="1" applyAlignment="1">
      <alignment horizontal="right" vertical="center"/>
    </xf>
    <xf numFmtId="168" fontId="20" fillId="0" borderId="31" xfId="0" applyNumberFormat="1" applyFont="1" applyBorder="1" applyAlignment="1">
      <alignment horizontal="right" vertical="center"/>
    </xf>
    <xf numFmtId="168" fontId="22" fillId="0" borderId="31" xfId="0" applyNumberFormat="1" applyFont="1" applyBorder="1" applyAlignment="1">
      <alignment horizontal="right" vertical="center" wrapText="1"/>
    </xf>
    <xf numFmtId="0" fontId="22" fillId="2" borderId="32" xfId="0" applyFont="1" applyFill="1" applyBorder="1" applyAlignment="1">
      <alignment vertical="center" wrapText="1"/>
    </xf>
    <xf numFmtId="168" fontId="22" fillId="2" borderId="32" xfId="0" applyNumberFormat="1" applyFont="1" applyFill="1" applyBorder="1">
      <alignment vertical="center"/>
    </xf>
    <xf numFmtId="168" fontId="22" fillId="2" borderId="32" xfId="0" applyNumberFormat="1" applyFont="1" applyFill="1" applyBorder="1" applyAlignment="1">
      <alignment vertical="center" wrapText="1"/>
    </xf>
    <xf numFmtId="168" fontId="22" fillId="2" borderId="33" xfId="0" applyNumberFormat="1" applyFont="1" applyFill="1" applyBorder="1" applyAlignment="1">
      <alignment vertical="center" wrapText="1"/>
    </xf>
    <xf numFmtId="0" fontId="19" fillId="8" borderId="0" xfId="0" applyFont="1" applyFill="1" applyAlignment="1">
      <alignment vertical="center" wrapText="1"/>
    </xf>
    <xf numFmtId="168" fontId="22" fillId="8" borderId="0" xfId="0" applyNumberFormat="1" applyFont="1" applyFill="1" applyBorder="1">
      <alignment vertical="center"/>
    </xf>
    <xf numFmtId="168" fontId="22" fillId="8" borderId="31" xfId="0" applyNumberFormat="1" applyFont="1" applyFill="1" applyBorder="1">
      <alignment vertical="center"/>
    </xf>
    <xf numFmtId="0" fontId="19" fillId="8" borderId="0" xfId="0" applyFont="1" applyFill="1" applyBorder="1" applyAlignment="1">
      <alignment vertical="center" wrapText="1"/>
    </xf>
    <xf numFmtId="168" fontId="22" fillId="8" borderId="0" xfId="0" applyNumberFormat="1" applyFont="1" applyFill="1" applyBorder="1" applyAlignment="1">
      <alignment horizontal="right" vertical="center" wrapText="1"/>
    </xf>
    <xf numFmtId="168" fontId="20" fillId="8" borderId="0" xfId="0" applyNumberFormat="1" applyFont="1" applyFill="1" applyBorder="1" applyAlignment="1">
      <alignment horizontal="right" vertical="center" wrapText="1"/>
    </xf>
    <xf numFmtId="168" fontId="20" fillId="8" borderId="31" xfId="0" applyNumberFormat="1" applyFont="1" applyFill="1" applyBorder="1" applyAlignment="1">
      <alignment horizontal="right" vertical="center" wrapText="1"/>
    </xf>
    <xf numFmtId="0" fontId="15" fillId="0" borderId="0" xfId="2" applyAlignment="1">
      <alignment wrapText="1"/>
    </xf>
    <xf numFmtId="168" fontId="19" fillId="8" borderId="0" xfId="0" applyNumberFormat="1" applyFont="1" applyFill="1" applyBorder="1" applyAlignment="1">
      <alignment vertical="center" wrapText="1"/>
    </xf>
    <xf numFmtId="168" fontId="19" fillId="0" borderId="0" xfId="0" applyNumberFormat="1" applyFont="1" applyBorder="1" applyAlignment="1">
      <alignment vertical="center" wrapText="1"/>
    </xf>
    <xf numFmtId="0" fontId="27" fillId="0" borderId="0" xfId="0" applyFont="1" applyBorder="1">
      <alignment vertical="center"/>
    </xf>
    <xf numFmtId="2" fontId="28" fillId="3" borderId="0" xfId="0" applyNumberFormat="1" applyFont="1" applyFill="1" applyBorder="1">
      <alignment vertical="center"/>
    </xf>
    <xf numFmtId="2" fontId="28" fillId="5" borderId="0" xfId="0" applyNumberFormat="1" applyFont="1" applyFill="1" applyBorder="1">
      <alignment vertical="center"/>
    </xf>
    <xf numFmtId="2" fontId="27" fillId="0" borderId="0" xfId="0" applyNumberFormat="1" applyFont="1" applyBorder="1">
      <alignment vertical="center"/>
    </xf>
    <xf numFmtId="2" fontId="28" fillId="7" borderId="0" xfId="0" applyNumberFormat="1" applyFont="1" applyFill="1" applyBorder="1">
      <alignment vertical="center"/>
    </xf>
    <xf numFmtId="2" fontId="28" fillId="9" borderId="0" xfId="0" applyNumberFormat="1" applyFont="1" applyFill="1" applyBorder="1">
      <alignment vertical="center"/>
    </xf>
    <xf numFmtId="0" fontId="28" fillId="4" borderId="0" xfId="0" applyFont="1" applyFill="1" applyBorder="1" applyAlignment="1">
      <alignment vertical="center" wrapText="1"/>
    </xf>
    <xf numFmtId="0" fontId="27" fillId="4" borderId="0" xfId="0" applyFont="1" applyFill="1" applyBorder="1">
      <alignment vertical="center"/>
    </xf>
    <xf numFmtId="3" fontId="0" fillId="0" borderId="0" xfId="0" applyNumberFormat="1">
      <alignment vertical="center"/>
    </xf>
    <xf numFmtId="3" fontId="27" fillId="0" borderId="0" xfId="0" applyNumberFormat="1" applyFont="1" applyBorder="1">
      <alignment vertical="center"/>
    </xf>
    <xf numFmtId="3" fontId="27" fillId="0" borderId="0" xfId="0" applyNumberFormat="1" applyFont="1">
      <alignment vertical="center"/>
    </xf>
    <xf numFmtId="3" fontId="28" fillId="0" borderId="0" xfId="0" applyNumberFormat="1" applyFont="1" applyBorder="1">
      <alignment vertical="center"/>
    </xf>
    <xf numFmtId="168" fontId="20" fillId="0" borderId="31" xfId="0" applyNumberFormat="1" applyFont="1" applyBorder="1" applyAlignment="1">
      <alignment horizontal="right" vertical="center" wrapText="1"/>
    </xf>
    <xf numFmtId="1" fontId="28" fillId="5" borderId="0" xfId="0" applyNumberFormat="1" applyFont="1" applyFill="1" applyBorder="1">
      <alignment vertical="center"/>
    </xf>
    <xf numFmtId="0" fontId="28" fillId="12" borderId="0" xfId="0" applyFont="1" applyFill="1" applyBorder="1">
      <alignment vertical="center"/>
    </xf>
    <xf numFmtId="0" fontId="27" fillId="12" borderId="0" xfId="0" applyFont="1" applyFill="1" applyBorder="1">
      <alignment vertical="center"/>
    </xf>
    <xf numFmtId="0" fontId="28" fillId="6" borderId="0" xfId="0" applyFont="1" applyFill="1" applyBorder="1">
      <alignment vertical="center"/>
    </xf>
    <xf numFmtId="0" fontId="27" fillId="6" borderId="0" xfId="0" applyFont="1" applyFill="1" applyBorder="1">
      <alignment vertical="center"/>
    </xf>
    <xf numFmtId="0" fontId="28" fillId="8" borderId="0" xfId="0" applyFont="1" applyFill="1" applyBorder="1">
      <alignment vertical="center"/>
    </xf>
    <xf numFmtId="0" fontId="27" fillId="8" borderId="0" xfId="0" applyFont="1" applyFill="1" applyBorder="1">
      <alignment vertical="center"/>
    </xf>
    <xf numFmtId="3" fontId="27" fillId="9" borderId="0" xfId="0" applyNumberFormat="1" applyFont="1" applyFill="1" applyBorder="1">
      <alignment vertical="center"/>
    </xf>
    <xf numFmtId="3" fontId="29" fillId="0" borderId="0" xfId="0" applyNumberFormat="1" applyFont="1">
      <alignment vertical="center"/>
    </xf>
    <xf numFmtId="0" fontId="28" fillId="4" borderId="40" xfId="0" applyFont="1" applyFill="1" applyBorder="1" applyAlignment="1">
      <alignment vertical="center" wrapText="1"/>
    </xf>
    <xf numFmtId="3" fontId="27" fillId="0" borderId="40" xfId="0" applyNumberFormat="1" applyFont="1" applyBorder="1">
      <alignment vertical="center"/>
    </xf>
    <xf numFmtId="3" fontId="28" fillId="0" borderId="40" xfId="0" applyNumberFormat="1" applyFont="1" applyBorder="1">
      <alignment vertical="center"/>
    </xf>
    <xf numFmtId="4" fontId="27" fillId="3" borderId="40" xfId="0" applyNumberFormat="1" applyFont="1" applyFill="1" applyBorder="1">
      <alignment vertical="center"/>
    </xf>
    <xf numFmtId="4" fontId="27" fillId="3" borderId="0" xfId="0" applyNumberFormat="1" applyFont="1" applyFill="1" applyBorder="1">
      <alignment vertical="center"/>
    </xf>
    <xf numFmtId="2" fontId="28" fillId="3" borderId="40" xfId="0" applyNumberFormat="1" applyFont="1" applyFill="1" applyBorder="1">
      <alignment vertical="center"/>
    </xf>
    <xf numFmtId="0" fontId="27" fillId="0" borderId="40" xfId="0" applyFont="1" applyBorder="1">
      <alignment vertical="center"/>
    </xf>
    <xf numFmtId="0" fontId="28" fillId="12" borderId="40" xfId="0" applyFont="1" applyFill="1" applyBorder="1">
      <alignment vertical="center"/>
    </xf>
    <xf numFmtId="2" fontId="27" fillId="5" borderId="40" xfId="0" applyNumberFormat="1" applyFont="1" applyFill="1" applyBorder="1">
      <alignment vertical="center"/>
    </xf>
    <xf numFmtId="0" fontId="28" fillId="6" borderId="40" xfId="0" applyFont="1" applyFill="1" applyBorder="1">
      <alignment vertical="center"/>
    </xf>
    <xf numFmtId="2" fontId="28" fillId="7" borderId="40" xfId="0" applyNumberFormat="1" applyFont="1" applyFill="1" applyBorder="1">
      <alignment vertical="center"/>
    </xf>
    <xf numFmtId="0" fontId="28" fillId="8" borderId="40" xfId="0" applyFont="1" applyFill="1" applyBorder="1">
      <alignment vertical="center"/>
    </xf>
    <xf numFmtId="2" fontId="27" fillId="0" borderId="40" xfId="0" applyNumberFormat="1" applyFont="1" applyBorder="1">
      <alignment vertical="center"/>
    </xf>
    <xf numFmtId="2" fontId="28" fillId="9" borderId="40" xfId="0" applyNumberFormat="1" applyFont="1" applyFill="1" applyBorder="1">
      <alignment vertical="center"/>
    </xf>
    <xf numFmtId="3" fontId="28" fillId="9" borderId="40" xfId="0" applyNumberFormat="1" applyFont="1" applyFill="1" applyBorder="1">
      <alignment vertical="center"/>
    </xf>
    <xf numFmtId="0" fontId="28" fillId="4" borderId="41" xfId="0" applyFont="1" applyFill="1" applyBorder="1" applyAlignment="1">
      <alignment vertical="center" wrapText="1"/>
    </xf>
    <xf numFmtId="3" fontId="27" fillId="0" borderId="41" xfId="0" applyNumberFormat="1" applyFont="1" applyBorder="1">
      <alignment vertical="center"/>
    </xf>
    <xf numFmtId="3" fontId="28" fillId="0" borderId="41" xfId="0" applyNumberFormat="1" applyFont="1" applyBorder="1">
      <alignment vertical="center"/>
    </xf>
    <xf numFmtId="4" fontId="27" fillId="3" borderId="41" xfId="0" applyNumberFormat="1" applyFont="1" applyFill="1" applyBorder="1">
      <alignment vertical="center"/>
    </xf>
    <xf numFmtId="2" fontId="28" fillId="3" borderId="41" xfId="0" applyNumberFormat="1" applyFont="1" applyFill="1" applyBorder="1">
      <alignment vertical="center"/>
    </xf>
    <xf numFmtId="0" fontId="28" fillId="12" borderId="41" xfId="0" applyFont="1" applyFill="1" applyBorder="1">
      <alignment vertical="center"/>
    </xf>
    <xf numFmtId="2" fontId="28" fillId="5" borderId="41" xfId="0" applyNumberFormat="1" applyFont="1" applyFill="1" applyBorder="1">
      <alignment vertical="center"/>
    </xf>
    <xf numFmtId="1" fontId="28" fillId="5" borderId="41" xfId="0" applyNumberFormat="1" applyFont="1" applyFill="1" applyBorder="1">
      <alignment vertical="center"/>
    </xf>
    <xf numFmtId="0" fontId="28" fillId="6" borderId="41" xfId="0" applyFont="1" applyFill="1" applyBorder="1">
      <alignment vertical="center"/>
    </xf>
    <xf numFmtId="2" fontId="28" fillId="7" borderId="41" xfId="0" applyNumberFormat="1" applyFont="1" applyFill="1" applyBorder="1">
      <alignment vertical="center"/>
    </xf>
    <xf numFmtId="0" fontId="28" fillId="8" borderId="41" xfId="0" applyFont="1" applyFill="1" applyBorder="1">
      <alignment vertical="center"/>
    </xf>
    <xf numFmtId="2" fontId="27" fillId="0" borderId="41" xfId="0" applyNumberFormat="1" applyFont="1" applyBorder="1">
      <alignment vertical="center"/>
    </xf>
    <xf numFmtId="2" fontId="28" fillId="9" borderId="41" xfId="0" applyNumberFormat="1" applyFont="1" applyFill="1" applyBorder="1">
      <alignment vertical="center"/>
    </xf>
    <xf numFmtId="3" fontId="27" fillId="9" borderId="41" xfId="0" applyNumberFormat="1" applyFont="1" applyFill="1" applyBorder="1">
      <alignment vertical="center"/>
    </xf>
    <xf numFmtId="0" fontId="27" fillId="4" borderId="40" xfId="0" applyFont="1" applyFill="1" applyBorder="1">
      <alignment vertical="center"/>
    </xf>
    <xf numFmtId="0" fontId="27" fillId="4" borderId="41" xfId="0" applyFont="1" applyFill="1" applyBorder="1">
      <alignment vertical="center"/>
    </xf>
    <xf numFmtId="0" fontId="27" fillId="12" borderId="40" xfId="0" applyFont="1" applyFill="1" applyBorder="1">
      <alignment vertical="center"/>
    </xf>
    <xf numFmtId="0" fontId="27" fillId="12" borderId="41" xfId="0" applyFont="1" applyFill="1" applyBorder="1">
      <alignment vertical="center"/>
    </xf>
    <xf numFmtId="2" fontId="27" fillId="5" borderId="41" xfId="0" applyNumberFormat="1" applyFont="1" applyFill="1" applyBorder="1">
      <alignment vertical="center"/>
    </xf>
    <xf numFmtId="0" fontId="27" fillId="6" borderId="40" xfId="0" applyFont="1" applyFill="1" applyBorder="1">
      <alignment vertical="center"/>
    </xf>
    <xf numFmtId="0" fontId="27" fillId="6" borderId="41" xfId="0" applyFont="1" applyFill="1" applyBorder="1">
      <alignment vertical="center"/>
    </xf>
    <xf numFmtId="0" fontId="27" fillId="8" borderId="40" xfId="0" applyFont="1" applyFill="1" applyBorder="1">
      <alignment vertical="center"/>
    </xf>
    <xf numFmtId="0" fontId="27" fillId="8" borderId="41" xfId="0" applyFont="1" applyFill="1" applyBorder="1">
      <alignment vertical="center"/>
    </xf>
    <xf numFmtId="3" fontId="27" fillId="9" borderId="40" xfId="0" applyNumberFormat="1" applyFont="1" applyFill="1" applyBorder="1">
      <alignment vertical="center"/>
    </xf>
    <xf numFmtId="0" fontId="27" fillId="0" borderId="43" xfId="2" applyFont="1" applyBorder="1" applyAlignment="1">
      <alignment horizontal="center" wrapText="1"/>
    </xf>
    <xf numFmtId="0" fontId="28" fillId="0" borderId="40" xfId="0" applyFont="1" applyBorder="1">
      <alignment vertical="center"/>
    </xf>
    <xf numFmtId="1" fontId="27" fillId="5" borderId="40" xfId="0" applyNumberFormat="1" applyFont="1" applyFill="1" applyBorder="1">
      <alignment vertical="center"/>
    </xf>
    <xf numFmtId="1" fontId="27" fillId="5" borderId="0" xfId="0" applyNumberFormat="1" applyFont="1" applyFill="1" applyBorder="1">
      <alignment vertical="center"/>
    </xf>
    <xf numFmtId="1" fontId="27" fillId="5" borderId="41" xfId="0" applyNumberFormat="1" applyFont="1" applyFill="1" applyBorder="1">
      <alignment vertical="center"/>
    </xf>
    <xf numFmtId="0" fontId="27" fillId="0" borderId="44" xfId="0" applyFont="1" applyBorder="1" applyAlignment="1">
      <alignment horizontal="center" vertical="center"/>
    </xf>
    <xf numFmtId="0" fontId="27" fillId="0" borderId="42" xfId="2" applyFont="1" applyBorder="1" applyAlignment="1">
      <alignment horizontal="center" wrapText="1"/>
    </xf>
    <xf numFmtId="3" fontId="27" fillId="3" borderId="0" xfId="0" applyNumberFormat="1" applyFont="1" applyFill="1" applyBorder="1">
      <alignment vertical="center"/>
    </xf>
    <xf numFmtId="3" fontId="27" fillId="12" borderId="0" xfId="0" applyNumberFormat="1" applyFont="1" applyFill="1" applyBorder="1">
      <alignment vertical="center"/>
    </xf>
    <xf numFmtId="3" fontId="27" fillId="13" borderId="0" xfId="0" applyNumberFormat="1" applyFont="1" applyFill="1" applyBorder="1">
      <alignment vertical="center"/>
    </xf>
    <xf numFmtId="3" fontId="27" fillId="5" borderId="0" xfId="0" applyNumberFormat="1" applyFont="1" applyFill="1" applyBorder="1">
      <alignment vertical="center"/>
    </xf>
    <xf numFmtId="3" fontId="27" fillId="6" borderId="0" xfId="0" applyNumberFormat="1" applyFont="1" applyFill="1" applyBorder="1">
      <alignment vertical="center"/>
    </xf>
    <xf numFmtId="3" fontId="27" fillId="7" borderId="0" xfId="0" applyNumberFormat="1" applyFont="1" applyFill="1" applyBorder="1">
      <alignment vertical="center"/>
    </xf>
    <xf numFmtId="3" fontId="27" fillId="8" borderId="0" xfId="0" applyNumberFormat="1" applyFont="1" applyFill="1" applyBorder="1">
      <alignment vertical="center"/>
    </xf>
    <xf numFmtId="0" fontId="33" fillId="0" borderId="0" xfId="0" applyFont="1" applyBorder="1">
      <alignment vertical="center"/>
    </xf>
    <xf numFmtId="3" fontId="27" fillId="9" borderId="45" xfId="0" applyNumberFormat="1" applyFont="1" applyFill="1" applyBorder="1">
      <alignment vertical="center"/>
    </xf>
    <xf numFmtId="3" fontId="27" fillId="9" borderId="46" xfId="0" applyNumberFormat="1" applyFont="1" applyFill="1" applyBorder="1">
      <alignment vertical="center"/>
    </xf>
    <xf numFmtId="0" fontId="35" fillId="3" borderId="40" xfId="0" applyFont="1" applyFill="1" applyBorder="1">
      <alignment vertical="center"/>
    </xf>
    <xf numFmtId="0" fontId="35" fillId="5" borderId="40" xfId="0" applyFont="1" applyFill="1" applyBorder="1">
      <alignment vertical="center"/>
    </xf>
    <xf numFmtId="0" fontId="35" fillId="7" borderId="40" xfId="0" applyFont="1" applyFill="1" applyBorder="1">
      <alignment vertical="center"/>
    </xf>
    <xf numFmtId="0" fontId="35" fillId="9" borderId="40" xfId="0" applyFont="1" applyFill="1" applyBorder="1">
      <alignment vertical="center"/>
    </xf>
    <xf numFmtId="0" fontId="35" fillId="9" borderId="45" xfId="0" applyFont="1" applyFill="1" applyBorder="1">
      <alignment vertical="center"/>
    </xf>
    <xf numFmtId="0" fontId="27" fillId="0" borderId="50" xfId="2" applyFont="1" applyBorder="1" applyAlignment="1">
      <alignment horizontal="center" wrapText="1"/>
    </xf>
    <xf numFmtId="0" fontId="32" fillId="6" borderId="40" xfId="0" applyFont="1" applyFill="1" applyBorder="1" applyAlignment="1">
      <alignment horizontal="center" vertical="center"/>
    </xf>
    <xf numFmtId="0" fontId="27" fillId="0" borderId="50" xfId="0" applyFont="1" applyBorder="1">
      <alignment vertical="center"/>
    </xf>
    <xf numFmtId="3" fontId="27" fillId="0" borderId="50" xfId="0" applyNumberFormat="1" applyFont="1" applyBorder="1">
      <alignment vertical="center"/>
    </xf>
    <xf numFmtId="0" fontId="32" fillId="12" borderId="40" xfId="0" applyFont="1" applyFill="1" applyBorder="1" applyAlignment="1">
      <alignment horizontal="center" vertical="center"/>
    </xf>
    <xf numFmtId="0" fontId="32" fillId="8" borderId="40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/>
    </xf>
    <xf numFmtId="0" fontId="33" fillId="0" borderId="50" xfId="2" applyFont="1" applyBorder="1" applyAlignment="1">
      <alignment horizontal="center" wrapText="1"/>
    </xf>
    <xf numFmtId="0" fontId="33" fillId="0" borderId="50" xfId="0" applyFont="1" applyBorder="1" applyAlignment="1">
      <alignment horizontal="center" vertical="center"/>
    </xf>
    <xf numFmtId="0" fontId="37" fillId="0" borderId="46" xfId="2" applyFont="1" applyBorder="1" applyAlignment="1">
      <alignment horizontal="left" vertical="center" wrapText="1"/>
    </xf>
    <xf numFmtId="0" fontId="38" fillId="0" borderId="0" xfId="2" applyFont="1" applyAlignment="1">
      <alignment wrapText="1"/>
    </xf>
    <xf numFmtId="169" fontId="27" fillId="9" borderId="51" xfId="0" applyNumberFormat="1" applyFont="1" applyFill="1" applyBorder="1">
      <alignment vertical="center"/>
    </xf>
    <xf numFmtId="169" fontId="27" fillId="9" borderId="32" xfId="0" applyNumberFormat="1" applyFont="1" applyFill="1" applyBorder="1">
      <alignment vertical="center"/>
    </xf>
    <xf numFmtId="169" fontId="27" fillId="9" borderId="52" xfId="0" applyNumberFormat="1" applyFont="1" applyFill="1" applyBorder="1">
      <alignment vertical="center"/>
    </xf>
    <xf numFmtId="168" fontId="20" fillId="0" borderId="0" xfId="0" applyNumberFormat="1" applyFont="1">
      <alignment vertical="center"/>
    </xf>
    <xf numFmtId="0" fontId="44" fillId="0" borderId="0" xfId="0" applyFont="1" applyBorder="1">
      <alignment vertical="center"/>
    </xf>
    <xf numFmtId="1" fontId="44" fillId="0" borderId="0" xfId="0" applyNumberFormat="1" applyFont="1" applyBorder="1">
      <alignment vertical="center"/>
    </xf>
    <xf numFmtId="0" fontId="46" fillId="0" borderId="0" xfId="0" applyFont="1" applyBorder="1" applyAlignment="1">
      <alignment vertical="center" wrapText="1"/>
    </xf>
    <xf numFmtId="1" fontId="47" fillId="8" borderId="0" xfId="0" applyNumberFormat="1" applyFont="1" applyFill="1" applyBorder="1">
      <alignment vertical="center"/>
    </xf>
    <xf numFmtId="1" fontId="46" fillId="0" borderId="0" xfId="0" applyNumberFormat="1" applyFont="1" applyBorder="1" applyAlignment="1">
      <alignment vertical="center" wrapText="1"/>
    </xf>
    <xf numFmtId="1" fontId="47" fillId="2" borderId="0" xfId="0" applyNumberFormat="1" applyFont="1" applyFill="1" applyBorder="1" applyAlignment="1">
      <alignment vertical="center" wrapText="1"/>
    </xf>
    <xf numFmtId="1" fontId="43" fillId="0" borderId="0" xfId="0" applyNumberFormat="1" applyFont="1" applyBorder="1">
      <alignment vertical="center"/>
    </xf>
    <xf numFmtId="1" fontId="45" fillId="2" borderId="0" xfId="0" applyNumberFormat="1" applyFont="1" applyFill="1" applyBorder="1">
      <alignment vertical="center"/>
    </xf>
    <xf numFmtId="1" fontId="47" fillId="0" borderId="0" xfId="0" applyNumberFormat="1" applyFont="1" applyBorder="1" applyAlignment="1">
      <alignment horizontal="right" vertical="center" wrapText="1"/>
    </xf>
    <xf numFmtId="0" fontId="43" fillId="0" borderId="0" xfId="0" applyFont="1" applyBorder="1">
      <alignment vertical="center"/>
    </xf>
    <xf numFmtId="1" fontId="45" fillId="2" borderId="0" xfId="0" applyNumberFormat="1" applyFont="1" applyFill="1" applyBorder="1" applyAlignment="1">
      <alignment horizontal="right" vertical="center"/>
    </xf>
    <xf numFmtId="1" fontId="47" fillId="0" borderId="0" xfId="0" applyNumberFormat="1" applyFont="1" applyFill="1" applyBorder="1" applyAlignment="1">
      <alignment vertical="center" wrapText="1"/>
    </xf>
    <xf numFmtId="0" fontId="44" fillId="0" borderId="0" xfId="0" applyFont="1" applyFill="1" applyBorder="1">
      <alignment vertical="center"/>
    </xf>
    <xf numFmtId="2" fontId="47" fillId="8" borderId="0" xfId="0" applyNumberFormat="1" applyFont="1" applyFill="1" applyBorder="1">
      <alignment vertical="center"/>
    </xf>
    <xf numFmtId="2" fontId="46" fillId="0" borderId="0" xfId="0" applyNumberFormat="1" applyFont="1" applyBorder="1" applyAlignment="1">
      <alignment vertical="center" wrapText="1"/>
    </xf>
    <xf numFmtId="2" fontId="47" fillId="2" borderId="0" xfId="0" applyNumberFormat="1" applyFont="1" applyFill="1" applyBorder="1" applyAlignment="1">
      <alignment vertical="center" wrapText="1"/>
    </xf>
    <xf numFmtId="2" fontId="43" fillId="0" borderId="0" xfId="0" applyNumberFormat="1" applyFont="1" applyBorder="1">
      <alignment vertical="center"/>
    </xf>
    <xf numFmtId="2" fontId="47" fillId="0" borderId="0" xfId="0" applyNumberFormat="1" applyFont="1" applyFill="1" applyBorder="1" applyAlignment="1">
      <alignment vertical="center" wrapText="1"/>
    </xf>
    <xf numFmtId="10" fontId="46" fillId="0" borderId="0" xfId="0" applyNumberFormat="1" applyFont="1" applyBorder="1" applyAlignment="1">
      <alignment vertical="center" wrapText="1"/>
    </xf>
    <xf numFmtId="10" fontId="43" fillId="0" borderId="0" xfId="0" applyNumberFormat="1" applyFont="1" applyBorder="1">
      <alignment vertical="center"/>
    </xf>
    <xf numFmtId="10" fontId="47" fillId="0" borderId="0" xfId="0" applyNumberFormat="1" applyFont="1" applyBorder="1" applyAlignment="1">
      <alignment horizontal="right" vertical="center" wrapText="1"/>
    </xf>
    <xf numFmtId="10" fontId="47" fillId="0" borderId="0" xfId="0" applyNumberFormat="1" applyFont="1" applyFill="1" applyBorder="1" applyAlignment="1">
      <alignment vertical="center" wrapText="1"/>
    </xf>
    <xf numFmtId="170" fontId="47" fillId="8" borderId="0" xfId="0" applyNumberFormat="1" applyFont="1" applyFill="1" applyBorder="1">
      <alignment vertical="center"/>
    </xf>
    <xf numFmtId="170" fontId="46" fillId="0" borderId="0" xfId="0" applyNumberFormat="1" applyFont="1" applyBorder="1" applyAlignment="1">
      <alignment vertical="center" wrapText="1"/>
    </xf>
    <xf numFmtId="170" fontId="47" fillId="2" borderId="0" xfId="0" applyNumberFormat="1" applyFont="1" applyFill="1" applyBorder="1" applyAlignment="1">
      <alignment vertical="center" wrapText="1"/>
    </xf>
    <xf numFmtId="170" fontId="43" fillId="0" borderId="0" xfId="0" applyNumberFormat="1" applyFont="1" applyBorder="1">
      <alignment vertical="center"/>
    </xf>
    <xf numFmtId="170" fontId="47" fillId="0" borderId="0" xfId="0" applyNumberFormat="1" applyFont="1" applyBorder="1" applyAlignment="1">
      <alignment horizontal="right" vertical="center" wrapText="1"/>
    </xf>
    <xf numFmtId="170" fontId="47" fillId="0" borderId="0" xfId="0" applyNumberFormat="1" applyFont="1" applyFill="1" applyBorder="1" applyAlignment="1">
      <alignment vertical="center" wrapText="1"/>
    </xf>
    <xf numFmtId="168" fontId="20" fillId="11" borderId="0" xfId="0" applyNumberFormat="1" applyFont="1" applyFill="1" applyBorder="1">
      <alignment vertical="center"/>
    </xf>
    <xf numFmtId="168" fontId="22" fillId="11" borderId="0" xfId="0" applyNumberFormat="1" applyFont="1" applyFill="1" applyBorder="1">
      <alignment vertical="center"/>
    </xf>
    <xf numFmtId="0" fontId="43" fillId="0" borderId="0" xfId="0" applyFont="1" applyBorder="1" applyAlignment="1">
      <alignment horizontal="center" vertical="center"/>
    </xf>
    <xf numFmtId="1" fontId="45" fillId="2" borderId="40" xfId="0" applyNumberFormat="1" applyFont="1" applyFill="1" applyBorder="1">
      <alignment vertical="center"/>
    </xf>
    <xf numFmtId="1" fontId="45" fillId="2" borderId="41" xfId="0" applyNumberFormat="1" applyFont="1" applyFill="1" applyBorder="1">
      <alignment vertical="center"/>
    </xf>
    <xf numFmtId="1" fontId="47" fillId="0" borderId="40" xfId="0" applyNumberFormat="1" applyFont="1" applyBorder="1" applyAlignment="1">
      <alignment horizontal="right" vertical="center" wrapText="1"/>
    </xf>
    <xf numFmtId="1" fontId="47" fillId="0" borderId="41" xfId="0" applyNumberFormat="1" applyFont="1" applyBorder="1" applyAlignment="1">
      <alignment horizontal="right" vertical="center" wrapText="1"/>
    </xf>
    <xf numFmtId="1" fontId="43" fillId="0" borderId="40" xfId="0" applyNumberFormat="1" applyFont="1" applyBorder="1">
      <alignment vertical="center"/>
    </xf>
    <xf numFmtId="1" fontId="47" fillId="8" borderId="40" xfId="0" applyNumberFormat="1" applyFont="1" applyFill="1" applyBorder="1">
      <alignment vertical="center"/>
    </xf>
    <xf numFmtId="1" fontId="47" fillId="8" borderId="41" xfId="0" applyNumberFormat="1" applyFont="1" applyFill="1" applyBorder="1">
      <alignment vertical="center"/>
    </xf>
    <xf numFmtId="1" fontId="47" fillId="2" borderId="40" xfId="0" applyNumberFormat="1" applyFont="1" applyFill="1" applyBorder="1">
      <alignment vertical="center"/>
    </xf>
    <xf numFmtId="1" fontId="47" fillId="2" borderId="41" xfId="0" applyNumberFormat="1" applyFont="1" applyFill="1" applyBorder="1" applyAlignment="1">
      <alignment vertical="center" wrapText="1"/>
    </xf>
    <xf numFmtId="1" fontId="47" fillId="0" borderId="40" xfId="0" applyNumberFormat="1" applyFont="1" applyFill="1" applyBorder="1">
      <alignment vertical="center"/>
    </xf>
    <xf numFmtId="1" fontId="47" fillId="0" borderId="41" xfId="0" applyNumberFormat="1" applyFont="1" applyFill="1" applyBorder="1" applyAlignment="1">
      <alignment vertical="center" wrapText="1"/>
    </xf>
    <xf numFmtId="1" fontId="43" fillId="0" borderId="41" xfId="0" applyNumberFormat="1" applyFont="1" applyBorder="1">
      <alignment vertical="center"/>
    </xf>
    <xf numFmtId="1" fontId="46" fillId="0" borderId="41" xfId="0" applyNumberFormat="1" applyFont="1" applyBorder="1" applyAlignment="1">
      <alignment vertical="center" wrapText="1"/>
    </xf>
    <xf numFmtId="1" fontId="46" fillId="0" borderId="40" xfId="0" applyNumberFormat="1" applyFont="1" applyBorder="1" applyAlignment="1">
      <alignment vertical="center" wrapText="1"/>
    </xf>
    <xf numFmtId="1" fontId="47" fillId="2" borderId="45" xfId="0" applyNumberFormat="1" applyFont="1" applyFill="1" applyBorder="1">
      <alignment vertical="center"/>
    </xf>
    <xf numFmtId="1" fontId="47" fillId="2" borderId="46" xfId="0" applyNumberFormat="1" applyFont="1" applyFill="1" applyBorder="1" applyAlignment="1">
      <alignment vertical="center" wrapText="1"/>
    </xf>
    <xf numFmtId="1" fontId="47" fillId="2" borderId="53" xfId="0" applyNumberFormat="1" applyFont="1" applyFill="1" applyBorder="1" applyAlignment="1">
      <alignment vertical="center" wrapText="1"/>
    </xf>
    <xf numFmtId="10" fontId="47" fillId="0" borderId="40" xfId="0" applyNumberFormat="1" applyFont="1" applyBorder="1" applyAlignment="1">
      <alignment horizontal="right" vertical="center" wrapText="1"/>
    </xf>
    <xf numFmtId="10" fontId="47" fillId="0" borderId="41" xfId="0" applyNumberFormat="1" applyFont="1" applyBorder="1" applyAlignment="1">
      <alignment horizontal="right" vertical="center" wrapText="1"/>
    </xf>
    <xf numFmtId="170" fontId="47" fillId="8" borderId="40" xfId="0" applyNumberFormat="1" applyFont="1" applyFill="1" applyBorder="1">
      <alignment vertical="center"/>
    </xf>
    <xf numFmtId="170" fontId="47" fillId="8" borderId="41" xfId="0" applyNumberFormat="1" applyFont="1" applyFill="1" applyBorder="1">
      <alignment vertical="center"/>
    </xf>
    <xf numFmtId="170" fontId="47" fillId="2" borderId="40" xfId="0" applyNumberFormat="1" applyFont="1" applyFill="1" applyBorder="1" applyAlignment="1">
      <alignment vertical="center" wrapText="1"/>
    </xf>
    <xf numFmtId="170" fontId="47" fillId="2" borderId="41" xfId="0" applyNumberFormat="1" applyFont="1" applyFill="1" applyBorder="1" applyAlignment="1">
      <alignment vertical="center" wrapText="1"/>
    </xf>
    <xf numFmtId="10" fontId="47" fillId="0" borderId="40" xfId="0" applyNumberFormat="1" applyFont="1" applyFill="1" applyBorder="1" applyAlignment="1">
      <alignment vertical="center" wrapText="1"/>
    </xf>
    <xf numFmtId="10" fontId="47" fillId="0" borderId="41" xfId="0" applyNumberFormat="1" applyFont="1" applyFill="1" applyBorder="1" applyAlignment="1">
      <alignment vertical="center" wrapText="1"/>
    </xf>
    <xf numFmtId="10" fontId="43" fillId="0" borderId="40" xfId="0" applyNumberFormat="1" applyFont="1" applyBorder="1">
      <alignment vertical="center"/>
    </xf>
    <xf numFmtId="10" fontId="43" fillId="0" borderId="41" xfId="0" applyNumberFormat="1" applyFont="1" applyBorder="1">
      <alignment vertical="center"/>
    </xf>
    <xf numFmtId="170" fontId="43" fillId="0" borderId="40" xfId="0" applyNumberFormat="1" applyFont="1" applyBorder="1">
      <alignment vertical="center"/>
    </xf>
    <xf numFmtId="170" fontId="43" fillId="0" borderId="41" xfId="0" applyNumberFormat="1" applyFont="1" applyBorder="1">
      <alignment vertical="center"/>
    </xf>
    <xf numFmtId="10" fontId="46" fillId="0" borderId="40" xfId="0" applyNumberFormat="1" applyFont="1" applyBorder="1" applyAlignment="1">
      <alignment vertical="center" wrapText="1"/>
    </xf>
    <xf numFmtId="10" fontId="46" fillId="0" borderId="41" xfId="0" applyNumberFormat="1" applyFont="1" applyBorder="1" applyAlignment="1">
      <alignment vertical="center" wrapText="1"/>
    </xf>
    <xf numFmtId="170" fontId="46" fillId="0" borderId="40" xfId="0" applyNumberFormat="1" applyFont="1" applyBorder="1" applyAlignment="1">
      <alignment vertical="center" wrapText="1"/>
    </xf>
    <xf numFmtId="170" fontId="46" fillId="0" borderId="41" xfId="0" applyNumberFormat="1" applyFont="1" applyBorder="1" applyAlignment="1">
      <alignment vertical="center" wrapText="1"/>
    </xf>
    <xf numFmtId="170" fontId="47" fillId="2" borderId="45" xfId="0" applyNumberFormat="1" applyFont="1" applyFill="1" applyBorder="1" applyAlignment="1">
      <alignment vertical="center" wrapText="1"/>
    </xf>
    <xf numFmtId="170" fontId="47" fillId="2" borderId="46" xfId="0" applyNumberFormat="1" applyFont="1" applyFill="1" applyBorder="1" applyAlignment="1">
      <alignment vertical="center" wrapText="1"/>
    </xf>
    <xf numFmtId="170" fontId="47" fillId="2" borderId="53" xfId="0" applyNumberFormat="1" applyFont="1" applyFill="1" applyBorder="1" applyAlignment="1">
      <alignment vertical="center" wrapText="1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45" fillId="2" borderId="48" xfId="0" applyFont="1" applyFill="1" applyBorder="1" applyAlignment="1">
      <alignment horizontal="left" vertical="center" indent="1"/>
    </xf>
    <xf numFmtId="0" fontId="42" fillId="0" borderId="48" xfId="0" applyFont="1" applyBorder="1" applyAlignment="1">
      <alignment vertical="center" wrapText="1"/>
    </xf>
    <xf numFmtId="0" fontId="46" fillId="0" borderId="48" xfId="0" applyFont="1" applyBorder="1" applyAlignment="1">
      <alignment vertical="center" wrapText="1"/>
    </xf>
    <xf numFmtId="0" fontId="47" fillId="8" borderId="48" xfId="0" applyFont="1" applyFill="1" applyBorder="1" applyAlignment="1">
      <alignment vertical="center" wrapText="1"/>
    </xf>
    <xf numFmtId="0" fontId="47" fillId="2" borderId="48" xfId="0" applyFont="1" applyFill="1" applyBorder="1" applyAlignment="1">
      <alignment vertical="center" wrapText="1"/>
    </xf>
    <xf numFmtId="0" fontId="47" fillId="0" borderId="48" xfId="0" applyFont="1" applyFill="1" applyBorder="1" applyAlignment="1">
      <alignment vertical="center" wrapText="1"/>
    </xf>
    <xf numFmtId="0" fontId="43" fillId="0" borderId="48" xfId="0" applyFont="1" applyBorder="1" applyAlignment="1">
      <alignment vertical="center" wrapText="1"/>
    </xf>
    <xf numFmtId="0" fontId="47" fillId="8" borderId="48" xfId="0" applyFont="1" applyFill="1" applyBorder="1">
      <alignment vertical="center"/>
    </xf>
    <xf numFmtId="0" fontId="47" fillId="2" borderId="49" xfId="0" applyFont="1" applyFill="1" applyBorder="1" applyAlignment="1">
      <alignment vertical="center" wrapText="1"/>
    </xf>
    <xf numFmtId="0" fontId="42" fillId="8" borderId="48" xfId="0" applyFont="1" applyFill="1" applyBorder="1" applyAlignment="1">
      <alignment vertical="center" wrapText="1"/>
    </xf>
    <xf numFmtId="0" fontId="43" fillId="0" borderId="40" xfId="0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1" fontId="45" fillId="2" borderId="40" xfId="0" applyNumberFormat="1" applyFont="1" applyFill="1" applyBorder="1" applyAlignment="1">
      <alignment horizontal="right" vertical="center"/>
    </xf>
    <xf numFmtId="1" fontId="45" fillId="2" borderId="41" xfId="0" applyNumberFormat="1" applyFont="1" applyFill="1" applyBorder="1" applyAlignment="1">
      <alignment horizontal="right" vertical="center"/>
    </xf>
    <xf numFmtId="1" fontId="47" fillId="2" borderId="45" xfId="0" applyNumberFormat="1" applyFont="1" applyFill="1" applyBorder="1" applyAlignment="1">
      <alignment vertical="center" wrapText="1"/>
    </xf>
    <xf numFmtId="2" fontId="47" fillId="8" borderId="40" xfId="0" applyNumberFormat="1" applyFont="1" applyFill="1" applyBorder="1">
      <alignment vertical="center"/>
    </xf>
    <xf numFmtId="2" fontId="47" fillId="8" borderId="41" xfId="0" applyNumberFormat="1" applyFont="1" applyFill="1" applyBorder="1">
      <alignment vertical="center"/>
    </xf>
    <xf numFmtId="2" fontId="46" fillId="0" borderId="40" xfId="0" applyNumberFormat="1" applyFont="1" applyBorder="1" applyAlignment="1">
      <alignment vertical="center" wrapText="1"/>
    </xf>
    <xf numFmtId="2" fontId="46" fillId="0" borderId="41" xfId="0" applyNumberFormat="1" applyFont="1" applyBorder="1" applyAlignment="1">
      <alignment vertical="center" wrapText="1"/>
    </xf>
    <xf numFmtId="2" fontId="47" fillId="2" borderId="45" xfId="0" applyNumberFormat="1" applyFont="1" applyFill="1" applyBorder="1" applyAlignment="1">
      <alignment vertical="center" wrapText="1"/>
    </xf>
    <xf numFmtId="2" fontId="47" fillId="2" borderId="46" xfId="0" applyNumberFormat="1" applyFont="1" applyFill="1" applyBorder="1" applyAlignment="1">
      <alignment vertical="center" wrapText="1"/>
    </xf>
    <xf numFmtId="2" fontId="47" fillId="2" borderId="53" xfId="0" applyNumberFormat="1" applyFont="1" applyFill="1" applyBorder="1" applyAlignment="1">
      <alignment vertical="center" wrapText="1"/>
    </xf>
    <xf numFmtId="1" fontId="47" fillId="2" borderId="40" xfId="0" applyNumberFormat="1" applyFont="1" applyFill="1" applyBorder="1" applyAlignment="1">
      <alignment vertical="center" wrapText="1"/>
    </xf>
    <xf numFmtId="1" fontId="47" fillId="0" borderId="40" xfId="0" applyNumberFormat="1" applyFont="1" applyFill="1" applyBorder="1" applyAlignment="1">
      <alignment vertical="center" wrapText="1"/>
    </xf>
    <xf numFmtId="2" fontId="47" fillId="2" borderId="40" xfId="0" applyNumberFormat="1" applyFont="1" applyFill="1" applyBorder="1" applyAlignment="1">
      <alignment vertical="center" wrapText="1"/>
    </xf>
    <xf numFmtId="2" fontId="47" fillId="2" borderId="41" xfId="0" applyNumberFormat="1" applyFont="1" applyFill="1" applyBorder="1" applyAlignment="1">
      <alignment vertical="center" wrapText="1"/>
    </xf>
    <xf numFmtId="2" fontId="47" fillId="0" borderId="40" xfId="0" applyNumberFormat="1" applyFont="1" applyFill="1" applyBorder="1" applyAlignment="1">
      <alignment vertical="center" wrapText="1"/>
    </xf>
    <xf numFmtId="2" fontId="47" fillId="0" borderId="41" xfId="0" applyNumberFormat="1" applyFont="1" applyFill="1" applyBorder="1" applyAlignment="1">
      <alignment vertical="center" wrapText="1"/>
    </xf>
    <xf numFmtId="2" fontId="43" fillId="0" borderId="40" xfId="0" applyNumberFormat="1" applyFont="1" applyBorder="1">
      <alignment vertical="center"/>
    </xf>
    <xf numFmtId="2" fontId="43" fillId="0" borderId="41" xfId="0" applyNumberFormat="1" applyFont="1" applyBorder="1">
      <alignment vertical="center"/>
    </xf>
    <xf numFmtId="170" fontId="47" fillId="0" borderId="40" xfId="0" applyNumberFormat="1" applyFont="1" applyBorder="1" applyAlignment="1">
      <alignment horizontal="right" vertical="center" wrapText="1"/>
    </xf>
    <xf numFmtId="170" fontId="47" fillId="0" borderId="41" xfId="0" applyNumberFormat="1" applyFont="1" applyBorder="1" applyAlignment="1">
      <alignment horizontal="right" vertical="center" wrapText="1"/>
    </xf>
    <xf numFmtId="170" fontId="47" fillId="0" borderId="40" xfId="0" applyNumberFormat="1" applyFont="1" applyFill="1" applyBorder="1" applyAlignment="1">
      <alignment vertical="center" wrapText="1"/>
    </xf>
    <xf numFmtId="170" fontId="47" fillId="0" borderId="41" xfId="0" applyNumberFormat="1" applyFont="1" applyFill="1" applyBorder="1" applyAlignment="1">
      <alignment vertical="center" wrapText="1"/>
    </xf>
    <xf numFmtId="3" fontId="27" fillId="3" borderId="40" xfId="0" applyNumberFormat="1" applyFont="1" applyFill="1" applyBorder="1">
      <alignment vertical="center"/>
    </xf>
    <xf numFmtId="3" fontId="27" fillId="12" borderId="40" xfId="0" applyNumberFormat="1" applyFont="1" applyFill="1" applyBorder="1">
      <alignment vertical="center"/>
    </xf>
    <xf numFmtId="3" fontId="27" fillId="5" borderId="40" xfId="0" applyNumberFormat="1" applyFont="1" applyFill="1" applyBorder="1">
      <alignment vertical="center"/>
    </xf>
    <xf numFmtId="3" fontId="27" fillId="6" borderId="40" xfId="0" applyNumberFormat="1" applyFont="1" applyFill="1" applyBorder="1">
      <alignment vertical="center"/>
    </xf>
    <xf numFmtId="3" fontId="27" fillId="7" borderId="40" xfId="0" applyNumberFormat="1" applyFont="1" applyFill="1" applyBorder="1">
      <alignment vertical="center"/>
    </xf>
    <xf numFmtId="3" fontId="27" fillId="8" borderId="40" xfId="0" applyNumberFormat="1" applyFont="1" applyFill="1" applyBorder="1">
      <alignment vertical="center"/>
    </xf>
    <xf numFmtId="0" fontId="27" fillId="0" borderId="48" xfId="0" applyFont="1" applyBorder="1">
      <alignment vertical="center"/>
    </xf>
    <xf numFmtId="0" fontId="27" fillId="0" borderId="49" xfId="0" applyFont="1" applyBorder="1">
      <alignment vertical="center"/>
    </xf>
    <xf numFmtId="0" fontId="50" fillId="0" borderId="42" xfId="2" applyFont="1" applyBorder="1" applyAlignment="1">
      <alignment vertical="center"/>
    </xf>
    <xf numFmtId="0" fontId="50" fillId="0" borderId="40" xfId="2" applyFont="1" applyBorder="1" applyAlignment="1">
      <alignment vertical="center"/>
    </xf>
    <xf numFmtId="0" fontId="45" fillId="2" borderId="40" xfId="0" applyFont="1" applyFill="1" applyBorder="1" applyAlignment="1">
      <alignment horizontal="left" vertical="center" indent="1"/>
    </xf>
    <xf numFmtId="0" fontId="42" fillId="0" borderId="40" xfId="0" applyFont="1" applyBorder="1" applyAlignment="1">
      <alignment vertical="center" wrapText="1"/>
    </xf>
    <xf numFmtId="0" fontId="46" fillId="0" borderId="40" xfId="0" applyFont="1" applyBorder="1" applyAlignment="1">
      <alignment vertical="center" wrapText="1"/>
    </xf>
    <xf numFmtId="0" fontId="42" fillId="8" borderId="40" xfId="0" applyFont="1" applyFill="1" applyBorder="1" applyAlignment="1">
      <alignment vertical="center" wrapText="1"/>
    </xf>
    <xf numFmtId="0" fontId="47" fillId="2" borderId="45" xfId="0" applyFont="1" applyFill="1" applyBorder="1" applyAlignment="1">
      <alignment vertical="center" wrapText="1"/>
    </xf>
    <xf numFmtId="0" fontId="50" fillId="0" borderId="42" xfId="2" applyFont="1" applyBorder="1" applyAlignment="1">
      <alignment horizontal="left" vertical="center" wrapText="1"/>
    </xf>
    <xf numFmtId="0" fontId="50" fillId="0" borderId="40" xfId="2" applyFont="1" applyBorder="1" applyAlignment="1">
      <alignment horizontal="left" vertical="center" wrapText="1"/>
    </xf>
    <xf numFmtId="0" fontId="47" fillId="8" borderId="40" xfId="0" applyFont="1" applyFill="1" applyBorder="1" applyAlignment="1">
      <alignment vertical="center" wrapText="1"/>
    </xf>
    <xf numFmtId="0" fontId="47" fillId="2" borderId="40" xfId="0" applyFont="1" applyFill="1" applyBorder="1" applyAlignment="1">
      <alignment vertical="center" wrapText="1"/>
    </xf>
    <xf numFmtId="0" fontId="47" fillId="0" borderId="40" xfId="0" applyFont="1" applyFill="1" applyBorder="1" applyAlignment="1">
      <alignment vertical="center" wrapText="1"/>
    </xf>
    <xf numFmtId="0" fontId="43" fillId="0" borderId="40" xfId="0" applyFont="1" applyBorder="1" applyAlignment="1">
      <alignment vertical="center" wrapText="1"/>
    </xf>
    <xf numFmtId="0" fontId="47" fillId="8" borderId="40" xfId="0" applyFont="1" applyFill="1" applyBorder="1">
      <alignment vertical="center"/>
    </xf>
    <xf numFmtId="0" fontId="14" fillId="2" borderId="1" xfId="0" applyFont="1" applyFill="1" applyBorder="1" applyAlignment="1">
      <alignment horizontal="left" vertical="center" indent="1"/>
    </xf>
    <xf numFmtId="0" fontId="14" fillId="2" borderId="1" xfId="0" applyFont="1" applyFill="1" applyBorder="1" applyAlignment="1">
      <alignment horizontal="center" vertical="center"/>
    </xf>
    <xf numFmtId="168" fontId="22" fillId="8" borderId="31" xfId="0" applyNumberFormat="1" applyFont="1" applyFill="1" applyBorder="1" applyAlignment="1">
      <alignment horizontal="right" vertical="center" wrapText="1"/>
    </xf>
    <xf numFmtId="168" fontId="22" fillId="8" borderId="0" xfId="0" applyNumberFormat="1" applyFont="1" applyFill="1" applyBorder="1" applyAlignment="1">
      <alignment horizontal="right" vertical="center"/>
    </xf>
    <xf numFmtId="0" fontId="19" fillId="2" borderId="32" xfId="0" applyFont="1" applyFill="1" applyBorder="1" applyAlignment="1">
      <alignment vertical="center" wrapText="1"/>
    </xf>
    <xf numFmtId="168" fontId="22" fillId="2" borderId="32" xfId="0" applyNumberFormat="1" applyFont="1" applyFill="1" applyBorder="1" applyAlignment="1">
      <alignment horizontal="right" vertical="center"/>
    </xf>
    <xf numFmtId="168" fontId="22" fillId="2" borderId="32" xfId="0" applyNumberFormat="1" applyFont="1" applyFill="1" applyBorder="1" applyAlignment="1">
      <alignment horizontal="right" vertical="center" wrapText="1"/>
    </xf>
    <xf numFmtId="168" fontId="22" fillId="2" borderId="33" xfId="0" applyNumberFormat="1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left" vertical="center" indent="1"/>
    </xf>
    <xf numFmtId="0" fontId="22" fillId="8" borderId="34" xfId="0" applyFont="1" applyFill="1" applyBorder="1" applyAlignment="1">
      <alignment vertical="center" wrapText="1"/>
    </xf>
    <xf numFmtId="168" fontId="22" fillId="8" borderId="34" xfId="0" applyNumberFormat="1" applyFont="1" applyFill="1" applyBorder="1">
      <alignment vertical="center"/>
    </xf>
    <xf numFmtId="168" fontId="22" fillId="8" borderId="35" xfId="0" applyNumberFormat="1" applyFont="1" applyFill="1" applyBorder="1">
      <alignment vertical="center"/>
    </xf>
    <xf numFmtId="0" fontId="19" fillId="2" borderId="34" xfId="0" applyFont="1" applyFill="1" applyBorder="1" applyAlignment="1">
      <alignment vertical="center" wrapText="1"/>
    </xf>
    <xf numFmtId="168" fontId="22" fillId="2" borderId="34" xfId="0" applyNumberFormat="1" applyFont="1" applyFill="1" applyBorder="1">
      <alignment vertical="center"/>
    </xf>
    <xf numFmtId="168" fontId="22" fillId="2" borderId="35" xfId="0" applyNumberFormat="1" applyFont="1" applyFill="1" applyBorder="1">
      <alignment vertical="center"/>
    </xf>
    <xf numFmtId="0" fontId="22" fillId="8" borderId="34" xfId="0" applyFont="1" applyFill="1" applyBorder="1">
      <alignment vertical="center"/>
    </xf>
    <xf numFmtId="0" fontId="22" fillId="8" borderId="0" xfId="0" applyFont="1" applyFill="1" applyBorder="1" applyAlignment="1">
      <alignment vertical="center" wrapText="1"/>
    </xf>
    <xf numFmtId="0" fontId="51" fillId="0" borderId="0" xfId="0" applyFont="1" applyBorder="1">
      <alignment vertical="center"/>
    </xf>
    <xf numFmtId="168" fontId="51" fillId="0" borderId="0" xfId="0" applyNumberFormat="1" applyFont="1" applyBorder="1">
      <alignment vertical="center"/>
    </xf>
    <xf numFmtId="168" fontId="51" fillId="0" borderId="31" xfId="0" applyNumberFormat="1" applyFont="1" applyBorder="1">
      <alignment vertical="center"/>
    </xf>
    <xf numFmtId="0" fontId="19" fillId="10" borderId="0" xfId="0" applyFont="1" applyFill="1" applyBorder="1" applyAlignment="1">
      <alignment vertical="center" wrapText="1"/>
    </xf>
    <xf numFmtId="168" fontId="22" fillId="10" borderId="0" xfId="0" applyNumberFormat="1" applyFont="1" applyFill="1" applyBorder="1">
      <alignment vertical="center"/>
    </xf>
    <xf numFmtId="168" fontId="22" fillId="10" borderId="31" xfId="0" applyNumberFormat="1" applyFont="1" applyFill="1" applyBorder="1">
      <alignment vertical="center"/>
    </xf>
    <xf numFmtId="0" fontId="51" fillId="0" borderId="0" xfId="0" applyFont="1">
      <alignment vertical="center"/>
    </xf>
    <xf numFmtId="0" fontId="27" fillId="3" borderId="40" xfId="0" applyFont="1" applyFill="1" applyBorder="1">
      <alignment vertical="center"/>
    </xf>
    <xf numFmtId="3" fontId="27" fillId="3" borderId="41" xfId="0" applyNumberFormat="1" applyFont="1" applyFill="1" applyBorder="1">
      <alignment vertical="center"/>
    </xf>
    <xf numFmtId="0" fontId="28" fillId="0" borderId="0" xfId="0" applyFont="1" applyBorder="1">
      <alignment vertical="center"/>
    </xf>
    <xf numFmtId="1" fontId="28" fillId="0" borderId="0" xfId="0" applyNumberFormat="1" applyFont="1" applyBorder="1">
      <alignment vertical="center"/>
    </xf>
    <xf numFmtId="1" fontId="28" fillId="0" borderId="40" xfId="0" applyNumberFormat="1" applyFont="1" applyBorder="1" applyAlignment="1">
      <alignment vertical="center" wrapText="1"/>
    </xf>
    <xf numFmtId="1" fontId="28" fillId="0" borderId="0" xfId="0" applyNumberFormat="1" applyFont="1" applyBorder="1" applyAlignment="1">
      <alignment vertical="center" wrapText="1"/>
    </xf>
    <xf numFmtId="1" fontId="28" fillId="0" borderId="41" xfId="0" applyNumberFormat="1" applyFont="1" applyBorder="1" applyAlignment="1">
      <alignment vertical="center" wrapText="1"/>
    </xf>
    <xf numFmtId="1" fontId="28" fillId="0" borderId="40" xfId="0" applyNumberFormat="1" applyFont="1" applyBorder="1">
      <alignment vertical="center"/>
    </xf>
    <xf numFmtId="1" fontId="28" fillId="0" borderId="41" xfId="0" applyNumberFormat="1" applyFont="1" applyBorder="1">
      <alignment vertical="center"/>
    </xf>
    <xf numFmtId="2" fontId="28" fillId="0" borderId="40" xfId="0" applyNumberFormat="1" applyFont="1" applyBorder="1">
      <alignment vertical="center"/>
    </xf>
    <xf numFmtId="2" fontId="28" fillId="0" borderId="0" xfId="0" applyNumberFormat="1" applyFont="1" applyBorder="1">
      <alignment vertical="center"/>
    </xf>
    <xf numFmtId="2" fontId="28" fillId="0" borderId="41" xfId="0" applyNumberFormat="1" applyFont="1" applyBorder="1">
      <alignment vertical="center"/>
    </xf>
    <xf numFmtId="170" fontId="28" fillId="0" borderId="40" xfId="0" applyNumberFormat="1" applyFont="1" applyBorder="1">
      <alignment vertical="center"/>
    </xf>
    <xf numFmtId="170" fontId="28" fillId="0" borderId="0" xfId="0" applyNumberFormat="1" applyFont="1" applyBorder="1">
      <alignment vertical="center"/>
    </xf>
    <xf numFmtId="170" fontId="28" fillId="0" borderId="41" xfId="0" applyNumberFormat="1" applyFont="1" applyBorder="1">
      <alignment vertical="center"/>
    </xf>
    <xf numFmtId="1" fontId="28" fillId="0" borderId="0" xfId="0" applyNumberFormat="1" applyFont="1" applyBorder="1" applyAlignment="1">
      <alignment horizontal="right" vertical="center" wrapText="1"/>
    </xf>
    <xf numFmtId="1" fontId="28" fillId="0" borderId="41" xfId="0" applyNumberFormat="1" applyFont="1" applyBorder="1" applyAlignment="1">
      <alignment horizontal="right" vertical="center" wrapText="1"/>
    </xf>
    <xf numFmtId="1" fontId="28" fillId="0" borderId="40" xfId="0" applyNumberFormat="1" applyFont="1" applyBorder="1" applyAlignment="1">
      <alignment horizontal="right" vertical="center" wrapText="1"/>
    </xf>
    <xf numFmtId="170" fontId="28" fillId="0" borderId="40" xfId="0" applyNumberFormat="1" applyFont="1" applyBorder="1" applyAlignment="1">
      <alignment horizontal="right" vertical="center" wrapText="1"/>
    </xf>
    <xf numFmtId="170" fontId="28" fillId="0" borderId="0" xfId="0" applyNumberFormat="1" applyFont="1" applyBorder="1" applyAlignment="1">
      <alignment horizontal="right" vertical="center" wrapText="1"/>
    </xf>
    <xf numFmtId="170" fontId="28" fillId="0" borderId="41" xfId="0" applyNumberFormat="1" applyFont="1" applyBorder="1" applyAlignment="1">
      <alignment horizontal="right" vertical="center" wrapText="1"/>
    </xf>
    <xf numFmtId="2" fontId="28" fillId="0" borderId="40" xfId="0" applyNumberFormat="1" applyFont="1" applyBorder="1" applyAlignment="1">
      <alignment vertical="center" wrapText="1"/>
    </xf>
    <xf numFmtId="2" fontId="28" fillId="0" borderId="0" xfId="0" applyNumberFormat="1" applyFont="1" applyBorder="1" applyAlignment="1">
      <alignment vertical="center" wrapText="1"/>
    </xf>
    <xf numFmtId="2" fontId="28" fillId="0" borderId="41" xfId="0" applyNumberFormat="1" applyFont="1" applyBorder="1" applyAlignment="1">
      <alignment vertical="center" wrapText="1"/>
    </xf>
    <xf numFmtId="170" fontId="28" fillId="0" borderId="40" xfId="0" applyNumberFormat="1" applyFont="1" applyBorder="1" applyAlignment="1">
      <alignment vertical="center" wrapText="1"/>
    </xf>
    <xf numFmtId="170" fontId="28" fillId="0" borderId="0" xfId="0" applyNumberFormat="1" applyFont="1" applyBorder="1" applyAlignment="1">
      <alignment vertical="center" wrapText="1"/>
    </xf>
    <xf numFmtId="170" fontId="28" fillId="0" borderId="41" xfId="0" applyNumberFormat="1" applyFont="1" applyBorder="1" applyAlignment="1">
      <alignment vertical="center" wrapText="1"/>
    </xf>
    <xf numFmtId="0" fontId="28" fillId="0" borderId="0" xfId="0" applyFont="1" applyFill="1" applyBorder="1">
      <alignment vertical="center"/>
    </xf>
    <xf numFmtId="170" fontId="28" fillId="0" borderId="40" xfId="0" applyNumberFormat="1" applyFont="1" applyFill="1" applyBorder="1">
      <alignment vertical="center"/>
    </xf>
    <xf numFmtId="170" fontId="28" fillId="0" borderId="0" xfId="0" applyNumberFormat="1" applyFont="1" applyFill="1" applyBorder="1">
      <alignment vertical="center"/>
    </xf>
    <xf numFmtId="170" fontId="28" fillId="0" borderId="41" xfId="0" applyNumberFormat="1" applyFont="1" applyFill="1" applyBorder="1">
      <alignment vertical="center"/>
    </xf>
    <xf numFmtId="10" fontId="28" fillId="0" borderId="40" xfId="0" applyNumberFormat="1" applyFont="1" applyBorder="1" applyAlignment="1">
      <alignment horizontal="right" vertical="center" wrapText="1"/>
    </xf>
    <xf numFmtId="10" fontId="28" fillId="0" borderId="0" xfId="0" applyNumberFormat="1" applyFont="1" applyBorder="1" applyAlignment="1">
      <alignment horizontal="right" vertical="center" wrapText="1"/>
    </xf>
    <xf numFmtId="10" fontId="28" fillId="0" borderId="41" xfId="0" applyNumberFormat="1" applyFont="1" applyBorder="1" applyAlignment="1">
      <alignment horizontal="right" vertical="center" wrapText="1"/>
    </xf>
    <xf numFmtId="10" fontId="28" fillId="0" borderId="40" xfId="0" applyNumberFormat="1" applyFont="1" applyBorder="1" applyAlignment="1">
      <alignment vertical="center" wrapText="1"/>
    </xf>
    <xf numFmtId="10" fontId="28" fillId="0" borderId="0" xfId="0" applyNumberFormat="1" applyFont="1" applyBorder="1" applyAlignment="1">
      <alignment vertical="center" wrapText="1"/>
    </xf>
    <xf numFmtId="10" fontId="28" fillId="0" borderId="41" xfId="0" applyNumberFormat="1" applyFont="1" applyBorder="1" applyAlignment="1">
      <alignment vertical="center" wrapText="1"/>
    </xf>
    <xf numFmtId="10" fontId="28" fillId="0" borderId="40" xfId="0" applyNumberFormat="1" applyFont="1" applyBorder="1">
      <alignment vertical="center"/>
    </xf>
    <xf numFmtId="10" fontId="28" fillId="0" borderId="0" xfId="0" applyNumberFormat="1" applyFont="1" applyBorder="1">
      <alignment vertical="center"/>
    </xf>
    <xf numFmtId="10" fontId="28" fillId="0" borderId="41" xfId="0" applyNumberFormat="1" applyFont="1" applyBorder="1">
      <alignment vertical="center"/>
    </xf>
    <xf numFmtId="1" fontId="27" fillId="5" borderId="0" xfId="0" applyNumberFormat="1" applyFont="1" applyFill="1">
      <alignment vertical="center"/>
    </xf>
    <xf numFmtId="2" fontId="27" fillId="5" borderId="0" xfId="0" applyNumberFormat="1" applyFont="1" applyFill="1">
      <alignment vertical="center"/>
    </xf>
    <xf numFmtId="3" fontId="22" fillId="8" borderId="0" xfId="0" applyNumberFormat="1" applyFont="1" applyFill="1" applyBorder="1">
      <alignment vertical="center"/>
    </xf>
    <xf numFmtId="0" fontId="46" fillId="0" borderId="48" xfId="0" applyFont="1" applyFill="1" applyBorder="1" applyAlignment="1">
      <alignment vertical="center" wrapText="1"/>
    </xf>
    <xf numFmtId="1" fontId="0" fillId="0" borderId="0" xfId="0" applyNumberFormat="1">
      <alignment vertical="center"/>
    </xf>
    <xf numFmtId="0" fontId="27" fillId="0" borderId="0" xfId="0" applyFont="1">
      <alignment vertical="center"/>
    </xf>
    <xf numFmtId="170" fontId="28" fillId="0" borderId="40" xfId="0" applyNumberFormat="1" applyFont="1" applyFill="1" applyBorder="1" applyAlignment="1">
      <alignment vertical="center" wrapText="1"/>
    </xf>
    <xf numFmtId="170" fontId="28" fillId="0" borderId="0" xfId="0" applyNumberFormat="1" applyFont="1" applyFill="1" applyBorder="1" applyAlignment="1">
      <alignment vertical="center" wrapText="1"/>
    </xf>
    <xf numFmtId="170" fontId="28" fillId="0" borderId="41" xfId="0" applyNumberFormat="1" applyFont="1" applyFill="1" applyBorder="1" applyAlignment="1">
      <alignment vertical="center" wrapText="1"/>
    </xf>
    <xf numFmtId="0" fontId="55" fillId="11" borderId="0" xfId="0" applyFont="1" applyFill="1" applyBorder="1" applyAlignment="1">
      <alignment vertical="center" wrapText="1"/>
    </xf>
    <xf numFmtId="0" fontId="43" fillId="0" borderId="54" xfId="0" applyFont="1" applyBorder="1" applyAlignment="1">
      <alignment horizontal="center" vertical="center"/>
    </xf>
    <xf numFmtId="0" fontId="43" fillId="0" borderId="50" xfId="0" applyFont="1" applyBorder="1" applyAlignment="1">
      <alignment horizontal="center" vertical="center"/>
    </xf>
    <xf numFmtId="0" fontId="43" fillId="0" borderId="55" xfId="0" applyFont="1" applyBorder="1" applyAlignment="1">
      <alignment horizontal="center" vertical="center"/>
    </xf>
    <xf numFmtId="0" fontId="55" fillId="11" borderId="0" xfId="0" applyFont="1" applyFill="1" applyBorder="1">
      <alignment vertical="center"/>
    </xf>
    <xf numFmtId="0" fontId="57" fillId="11" borderId="0" xfId="0" applyFont="1" applyFill="1" applyBorder="1" applyAlignment="1">
      <alignment vertical="center" wrapText="1"/>
    </xf>
    <xf numFmtId="0" fontId="0" fillId="0" borderId="0" xfId="0" applyBorder="1" applyAlignment="1">
      <alignment horizontal="left" vertical="center" indent="1"/>
    </xf>
    <xf numFmtId="0" fontId="6" fillId="2" borderId="0" xfId="0" applyFont="1" applyFill="1" applyBorder="1" applyAlignment="1">
      <alignment horizontal="left" vertical="center" indent="1"/>
    </xf>
    <xf numFmtId="0" fontId="6" fillId="2" borderId="0" xfId="0" applyFont="1" applyFill="1" applyBorder="1">
      <alignment vertical="center"/>
    </xf>
    <xf numFmtId="0" fontId="53" fillId="0" borderId="0" xfId="0" applyFont="1" applyBorder="1" applyAlignment="1">
      <alignment horizontal="left" vertical="center" indent="1"/>
    </xf>
    <xf numFmtId="0" fontId="23" fillId="0" borderId="0" xfId="0" applyFont="1" applyBorder="1" applyAlignment="1">
      <alignment horizontal="left" vertical="center" indent="1"/>
    </xf>
    <xf numFmtId="0" fontId="22" fillId="2" borderId="0" xfId="0" applyFont="1" applyFill="1" applyBorder="1" applyAlignment="1">
      <alignment vertical="center" wrapText="1"/>
    </xf>
    <xf numFmtId="168" fontId="22" fillId="2" borderId="0" xfId="0" applyNumberFormat="1" applyFont="1" applyFill="1" applyBorder="1">
      <alignment vertical="center"/>
    </xf>
    <xf numFmtId="0" fontId="15" fillId="0" borderId="0" xfId="2" applyBorder="1" applyAlignment="1">
      <alignment wrapText="1"/>
    </xf>
    <xf numFmtId="0" fontId="15" fillId="0" borderId="0" xfId="2" applyBorder="1" applyAlignment="1">
      <alignment horizontal="left" wrapText="1"/>
    </xf>
    <xf numFmtId="0" fontId="19" fillId="2" borderId="0" xfId="0" applyFont="1" applyFill="1" applyBorder="1" applyAlignment="1">
      <alignment vertical="center" wrapText="1"/>
    </xf>
    <xf numFmtId="168" fontId="22" fillId="2" borderId="0" xfId="0" applyNumberFormat="1" applyFont="1" applyFill="1" applyBorder="1" applyAlignment="1">
      <alignment horizontal="right" vertical="center"/>
    </xf>
    <xf numFmtId="168" fontId="0" fillId="0" borderId="0" xfId="0" applyNumberFormat="1" applyBorder="1">
      <alignment vertical="center"/>
    </xf>
    <xf numFmtId="0" fontId="20" fillId="0" borderId="0" xfId="0" applyFont="1" applyFill="1" applyBorder="1" applyAlignment="1">
      <alignment vertical="center" wrapText="1"/>
    </xf>
    <xf numFmtId="1" fontId="21" fillId="0" borderId="0" xfId="0" applyNumberFormat="1" applyFont="1" applyBorder="1" applyAlignment="1">
      <alignment vertical="center" wrapText="1"/>
    </xf>
    <xf numFmtId="1" fontId="22" fillId="8" borderId="0" xfId="0" applyNumberFormat="1" applyFont="1" applyFill="1" applyBorder="1" applyAlignment="1">
      <alignment vertical="center" wrapText="1"/>
    </xf>
    <xf numFmtId="1" fontId="19" fillId="2" borderId="0" xfId="0" applyNumberFormat="1" applyFont="1" applyFill="1" applyBorder="1" applyAlignment="1">
      <alignment vertical="center" wrapText="1"/>
    </xf>
    <xf numFmtId="1" fontId="19" fillId="10" borderId="0" xfId="0" applyNumberFormat="1" applyFont="1" applyFill="1" applyBorder="1" applyAlignment="1">
      <alignment vertical="center" wrapText="1"/>
    </xf>
    <xf numFmtId="0" fontId="31" fillId="0" borderId="0" xfId="0" applyFont="1" applyBorder="1">
      <alignment vertical="center"/>
    </xf>
    <xf numFmtId="3" fontId="30" fillId="0" borderId="0" xfId="0" applyNumberFormat="1" applyFont="1" applyBorder="1">
      <alignment vertical="center"/>
    </xf>
    <xf numFmtId="3" fontId="31" fillId="0" borderId="0" xfId="0" applyNumberFormat="1" applyFont="1" applyBorder="1">
      <alignment vertical="center"/>
    </xf>
    <xf numFmtId="3" fontId="0" fillId="0" borderId="0" xfId="0" applyNumberFormat="1" applyBorder="1">
      <alignment vertical="center"/>
    </xf>
    <xf numFmtId="0" fontId="24" fillId="0" borderId="39" xfId="0" applyFont="1" applyFill="1" applyBorder="1" applyAlignment="1">
      <alignment horizontal="left" vertical="center" indent="1"/>
    </xf>
    <xf numFmtId="0" fontId="56" fillId="0" borderId="36" xfId="0" applyFont="1" applyFill="1" applyBorder="1" applyAlignment="1">
      <alignment horizontal="left" vertical="center" indent="1"/>
    </xf>
    <xf numFmtId="0" fontId="21" fillId="0" borderId="37" xfId="0" applyFont="1" applyFill="1" applyBorder="1" applyAlignment="1">
      <alignment horizontal="left" vertical="center" indent="1"/>
    </xf>
    <xf numFmtId="0" fontId="21" fillId="0" borderId="31" xfId="0" applyFont="1" applyFill="1" applyBorder="1" applyAlignment="1">
      <alignment horizontal="left" vertical="center" indent="1"/>
    </xf>
    <xf numFmtId="0" fontId="21" fillId="0" borderId="31" xfId="0" applyFont="1" applyFill="1" applyBorder="1">
      <alignment vertical="center"/>
    </xf>
    <xf numFmtId="0" fontId="21" fillId="0" borderId="37" xfId="0" applyFont="1" applyFill="1" applyBorder="1">
      <alignment vertical="center"/>
    </xf>
    <xf numFmtId="0" fontId="21" fillId="0" borderId="38" xfId="0" applyFont="1" applyFill="1" applyBorder="1" applyAlignment="1">
      <alignment horizontal="left" vertical="center" indent="1"/>
    </xf>
    <xf numFmtId="0" fontId="21" fillId="0" borderId="33" xfId="0" applyFont="1" applyFill="1" applyBorder="1" applyAlignment="1">
      <alignment horizontal="left" vertical="center" indent="1"/>
    </xf>
    <xf numFmtId="0" fontId="53" fillId="0" borderId="0" xfId="0" applyFont="1" applyBorder="1">
      <alignment vertical="center"/>
    </xf>
    <xf numFmtId="168" fontId="22" fillId="2" borderId="0" xfId="0" applyNumberFormat="1" applyFont="1" applyFill="1" applyBorder="1" applyAlignment="1">
      <alignment vertical="center" wrapText="1"/>
    </xf>
    <xf numFmtId="168" fontId="19" fillId="2" borderId="0" xfId="0" applyNumberFormat="1" applyFont="1" applyFill="1" applyBorder="1" applyAlignment="1">
      <alignment vertical="center" wrapText="1"/>
    </xf>
    <xf numFmtId="0" fontId="15" fillId="0" borderId="0" xfId="2" applyBorder="1" applyAlignment="1"/>
    <xf numFmtId="1" fontId="19" fillId="0" borderId="0" xfId="0" applyNumberFormat="1" applyFont="1" applyBorder="1" applyAlignment="1">
      <alignment vertical="center" wrapText="1"/>
    </xf>
    <xf numFmtId="0" fontId="21" fillId="11" borderId="0" xfId="0" applyFont="1" applyFill="1" applyBorder="1" applyAlignment="1">
      <alignment vertical="center" wrapText="1"/>
    </xf>
    <xf numFmtId="1" fontId="55" fillId="11" borderId="0" xfId="0" applyNumberFormat="1" applyFont="1" applyFill="1" applyBorder="1" applyAlignment="1">
      <alignment vertical="center" wrapText="1"/>
    </xf>
    <xf numFmtId="0" fontId="22" fillId="8" borderId="0" xfId="0" applyFont="1" applyFill="1" applyBorder="1">
      <alignment vertical="center"/>
    </xf>
    <xf numFmtId="1" fontId="22" fillId="8" borderId="0" xfId="0" applyNumberFormat="1" applyFont="1" applyFill="1" applyBorder="1">
      <alignment vertical="center"/>
    </xf>
    <xf numFmtId="0" fontId="36" fillId="0" borderId="37" xfId="0" applyFont="1" applyBorder="1" applyAlignment="1">
      <alignment horizontal="left" vertical="center" indent="1"/>
    </xf>
    <xf numFmtId="0" fontId="36" fillId="0" borderId="31" xfId="0" applyFont="1" applyBorder="1" applyAlignment="1">
      <alignment horizontal="left" vertical="center" indent="1"/>
    </xf>
    <xf numFmtId="0" fontId="36" fillId="0" borderId="31" xfId="0" applyFont="1" applyBorder="1">
      <alignment vertical="center"/>
    </xf>
    <xf numFmtId="0" fontId="39" fillId="0" borderId="37" xfId="0" applyFont="1" applyBorder="1">
      <alignment vertical="center"/>
    </xf>
    <xf numFmtId="0" fontId="36" fillId="0" borderId="38" xfId="0" applyFont="1" applyBorder="1" applyAlignment="1">
      <alignment horizontal="left" vertical="center" indent="1"/>
    </xf>
    <xf numFmtId="0" fontId="36" fillId="0" borderId="33" xfId="0" applyFont="1" applyBorder="1" applyAlignment="1">
      <alignment horizontal="left" vertical="center" indent="1"/>
    </xf>
    <xf numFmtId="0" fontId="0" fillId="0" borderId="0" xfId="0" applyBorder="1" applyAlignment="1">
      <alignment horizontal="center" vertical="center"/>
    </xf>
    <xf numFmtId="3" fontId="20" fillId="0" borderId="0" xfId="0" applyNumberFormat="1" applyFont="1" applyFill="1" applyBorder="1">
      <alignment vertical="center"/>
    </xf>
    <xf numFmtId="3" fontId="20" fillId="0" borderId="0" xfId="0" applyNumberFormat="1" applyFont="1" applyFill="1" applyBorder="1" applyAlignment="1">
      <alignment vertical="center" wrapText="1"/>
    </xf>
    <xf numFmtId="0" fontId="22" fillId="0" borderId="0" xfId="0" applyFont="1" applyBorder="1" applyAlignment="1">
      <alignment vertical="center" wrapText="1"/>
    </xf>
    <xf numFmtId="0" fontId="20" fillId="0" borderId="0" xfId="0" applyFont="1" applyBorder="1" applyAlignment="1">
      <alignment vertical="center" wrapText="1"/>
    </xf>
    <xf numFmtId="3" fontId="22" fillId="2" borderId="0" xfId="0" applyNumberFormat="1" applyFont="1" applyFill="1" applyBorder="1">
      <alignment vertical="center"/>
    </xf>
    <xf numFmtId="3" fontId="22" fillId="8" borderId="0" xfId="0" applyNumberFormat="1" applyFont="1" applyFill="1" applyBorder="1" applyAlignment="1">
      <alignment horizontal="right" vertical="center" wrapText="1"/>
    </xf>
    <xf numFmtId="0" fontId="52" fillId="0" borderId="0" xfId="0" applyFont="1" applyBorder="1">
      <alignment vertical="center"/>
    </xf>
    <xf numFmtId="0" fontId="52" fillId="0" borderId="0" xfId="0" applyFont="1" applyBorder="1" applyAlignment="1">
      <alignment vertical="center" wrapText="1"/>
    </xf>
    <xf numFmtId="3" fontId="22" fillId="2" borderId="0" xfId="0" applyNumberFormat="1" applyFont="1" applyFill="1" applyBorder="1" applyAlignment="1">
      <alignment horizontal="right" vertical="center"/>
    </xf>
    <xf numFmtId="3" fontId="22" fillId="2" borderId="0" xfId="0" applyNumberFormat="1" applyFont="1" applyFill="1" applyBorder="1" applyAlignment="1">
      <alignment horizontal="right" vertical="center" wrapText="1"/>
    </xf>
    <xf numFmtId="3" fontId="22" fillId="0" borderId="0" xfId="0" applyNumberFormat="1" applyFont="1" applyFill="1" applyBorder="1" applyAlignment="1">
      <alignment horizontal="right" vertical="center" wrapText="1"/>
    </xf>
    <xf numFmtId="3" fontId="20" fillId="0" borderId="0" xfId="0" applyNumberFormat="1" applyFont="1" applyFill="1" applyBorder="1" applyAlignment="1">
      <alignment horizontal="right" vertical="center" wrapText="1"/>
    </xf>
    <xf numFmtId="3" fontId="20" fillId="0" borderId="0" xfId="0" quotePrefix="1" applyNumberFormat="1" applyFont="1" applyFill="1" applyBorder="1">
      <alignment vertical="center"/>
    </xf>
    <xf numFmtId="3" fontId="21" fillId="0" borderId="0" xfId="0" quotePrefix="1" applyNumberFormat="1" applyFont="1" applyFill="1" applyBorder="1" applyAlignment="1">
      <alignment vertical="center" wrapText="1"/>
    </xf>
    <xf numFmtId="3" fontId="22" fillId="0" borderId="0" xfId="0" applyNumberFormat="1" applyFont="1" applyFill="1" applyBorder="1">
      <alignment vertical="center"/>
    </xf>
    <xf numFmtId="3" fontId="20" fillId="0" borderId="0" xfId="0" quotePrefix="1" applyNumberFormat="1" applyFont="1" applyFill="1" applyBorder="1" applyAlignment="1">
      <alignment vertical="center" wrapText="1"/>
    </xf>
    <xf numFmtId="3" fontId="18" fillId="0" borderId="0" xfId="0" applyNumberFormat="1" applyFont="1" applyFill="1" applyBorder="1" applyAlignment="1">
      <alignment vertical="center" wrapText="1"/>
    </xf>
    <xf numFmtId="3" fontId="54" fillId="0" borderId="0" xfId="0" applyNumberFormat="1" applyFont="1" applyFill="1" applyBorder="1" applyAlignment="1">
      <alignment vertical="center" wrapText="1"/>
    </xf>
    <xf numFmtId="3" fontId="21" fillId="0" borderId="0" xfId="0" quotePrefix="1" applyNumberFormat="1" applyFont="1" applyFill="1" applyBorder="1">
      <alignment vertical="center"/>
    </xf>
    <xf numFmtId="0" fontId="0" fillId="0" borderId="0" xfId="0" applyBorder="1" applyAlignment="1">
      <alignment horizontal="left" vertical="center"/>
    </xf>
    <xf numFmtId="0" fontId="19" fillId="0" borderId="0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vertical="center" wrapText="1"/>
    </xf>
    <xf numFmtId="3" fontId="18" fillId="0" borderId="0" xfId="0" applyNumberFormat="1" applyFont="1" applyFill="1" applyBorder="1">
      <alignment vertical="center"/>
    </xf>
    <xf numFmtId="0" fontId="21" fillId="8" borderId="0" xfId="0" applyFont="1" applyFill="1" applyBorder="1" applyAlignment="1">
      <alignment vertical="center" wrapText="1"/>
    </xf>
    <xf numFmtId="3" fontId="22" fillId="10" borderId="0" xfId="0" applyNumberFormat="1" applyFont="1" applyFill="1" applyBorder="1">
      <alignment vertical="center"/>
    </xf>
    <xf numFmtId="3" fontId="19" fillId="2" borderId="0" xfId="0" applyNumberFormat="1" applyFont="1" applyFill="1" applyBorder="1" applyAlignment="1">
      <alignment vertical="center" wrapText="1"/>
    </xf>
    <xf numFmtId="0" fontId="58" fillId="0" borderId="0" xfId="0" applyFo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0" fillId="0" borderId="39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0" fontId="53" fillId="0" borderId="0" xfId="0" applyFont="1" applyBorder="1" applyAlignment="1">
      <alignment horizontal="center" vertical="center"/>
    </xf>
    <xf numFmtId="0" fontId="46" fillId="0" borderId="0" xfId="0" applyFont="1" applyFill="1" applyBorder="1" applyAlignment="1">
      <alignment vertical="center" wrapText="1"/>
    </xf>
    <xf numFmtId="0" fontId="36" fillId="0" borderId="0" xfId="0" applyFont="1" applyAlignment="1">
      <alignment vertical="center" wrapText="1"/>
    </xf>
    <xf numFmtId="0" fontId="32" fillId="6" borderId="40" xfId="0" applyFont="1" applyFill="1" applyBorder="1" applyAlignment="1">
      <alignment horizontal="left" vertical="center"/>
    </xf>
    <xf numFmtId="0" fontId="59" fillId="7" borderId="40" xfId="0" applyFont="1" applyFill="1" applyBorder="1">
      <alignment vertical="center"/>
    </xf>
    <xf numFmtId="2" fontId="27" fillId="7" borderId="40" xfId="0" applyNumberFormat="1" applyFont="1" applyFill="1" applyBorder="1">
      <alignment vertical="center"/>
    </xf>
    <xf numFmtId="2" fontId="27" fillId="7" borderId="0" xfId="0" applyNumberFormat="1" applyFont="1" applyFill="1">
      <alignment vertical="center"/>
    </xf>
    <xf numFmtId="2" fontId="27" fillId="7" borderId="41" xfId="0" applyNumberFormat="1" applyFont="1" applyFill="1" applyBorder="1">
      <alignment vertical="center"/>
    </xf>
    <xf numFmtId="9" fontId="27" fillId="0" borderId="40" xfId="0" applyNumberFormat="1" applyFont="1" applyBorder="1">
      <alignment vertical="center"/>
    </xf>
    <xf numFmtId="0" fontId="0" fillId="0" borderId="14" xfId="0" applyFill="1" applyBorder="1">
      <alignment vertical="center"/>
    </xf>
    <xf numFmtId="0" fontId="6" fillId="2" borderId="1" xfId="0" applyFont="1" applyFill="1" applyBorder="1">
      <alignment vertical="center"/>
    </xf>
    <xf numFmtId="0" fontId="0" fillId="0" borderId="13" xfId="0" applyFill="1" applyBorder="1">
      <alignment vertical="center"/>
    </xf>
    <xf numFmtId="0" fontId="17" fillId="0" borderId="14" xfId="0" applyFont="1" applyFill="1" applyBorder="1">
      <alignment vertical="center"/>
    </xf>
    <xf numFmtId="0" fontId="0" fillId="0" borderId="0" xfId="0" applyBorder="1" applyAlignment="1">
      <alignment horizontal="left" indent="1"/>
    </xf>
    <xf numFmtId="0" fontId="0" fillId="0" borderId="0" xfId="0" applyBorder="1" applyAlignment="1">
      <alignment horizontal="center" vertical="center"/>
    </xf>
    <xf numFmtId="0" fontId="0" fillId="0" borderId="14" xfId="0" applyFill="1" applyBorder="1" applyAlignment="1">
      <alignment vertical="center"/>
    </xf>
    <xf numFmtId="0" fontId="8" fillId="0" borderId="2" xfId="3" applyNumberFormat="1" applyFont="1" applyFill="1" applyAlignment="1">
      <alignment horizontal="center" vertical="center"/>
    </xf>
    <xf numFmtId="165" fontId="11" fillId="0" borderId="10" xfId="7" applyNumberFormat="1" applyBorder="1" applyAlignment="1">
      <alignment horizontal="left" vertical="center" indent="1"/>
    </xf>
    <xf numFmtId="165" fontId="11" fillId="0" borderId="12" xfId="7" applyNumberFormat="1" applyBorder="1" applyAlignment="1">
      <alignment horizontal="left" vertical="center" indent="1"/>
    </xf>
    <xf numFmtId="165" fontId="11" fillId="0" borderId="11" xfId="7" applyNumberFormat="1" applyBorder="1" applyAlignment="1">
      <alignment horizontal="left" vertical="center" indent="1"/>
    </xf>
    <xf numFmtId="167" fontId="9" fillId="0" borderId="25" xfId="6" applyNumberFormat="1" applyBorder="1" applyAlignment="1">
      <alignment horizontal="center" vertical="center"/>
    </xf>
    <xf numFmtId="167" fontId="9" fillId="0" borderId="7" xfId="6" applyNumberFormat="1" applyAlignment="1">
      <alignment horizontal="center" vertical="center"/>
    </xf>
    <xf numFmtId="167" fontId="9" fillId="0" borderId="26" xfId="6" applyNumberFormat="1" applyBorder="1" applyAlignment="1">
      <alignment horizontal="center" vertical="center"/>
    </xf>
    <xf numFmtId="0" fontId="0" fillId="0" borderId="3" xfId="0" applyBorder="1" applyAlignment="1">
      <alignment horizontal="left" indent="1"/>
    </xf>
    <xf numFmtId="0" fontId="0" fillId="0" borderId="0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14" fillId="2" borderId="28" xfId="5" applyBorder="1" applyAlignment="1">
      <alignment horizontal="center" vertical="center"/>
    </xf>
    <xf numFmtId="0" fontId="14" fillId="2" borderId="29" xfId="5" applyBorder="1" applyAlignment="1">
      <alignment horizontal="center" vertical="center"/>
    </xf>
    <xf numFmtId="0" fontId="14" fillId="2" borderId="30" xfId="5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17" fillId="0" borderId="14" xfId="0" applyFont="1" applyFill="1" applyBorder="1" applyAlignment="1">
      <alignment vertical="center"/>
    </xf>
    <xf numFmtId="0" fontId="47" fillId="0" borderId="47" xfId="0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41" fillId="0" borderId="41" xfId="2" applyFont="1" applyBorder="1" applyAlignment="1">
      <alignment horizontal="left" vertical="center" wrapText="1"/>
    </xf>
    <xf numFmtId="0" fontId="33" fillId="0" borderId="43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0" fontId="34" fillId="0" borderId="0" xfId="2" applyFont="1" applyBorder="1" applyAlignment="1">
      <alignment horizontal="left" wrapText="1"/>
    </xf>
    <xf numFmtId="0" fontId="33" fillId="0" borderId="43" xfId="2" applyFont="1" applyBorder="1" applyAlignment="1">
      <alignment horizontal="center" wrapText="1"/>
    </xf>
    <xf numFmtId="0" fontId="33" fillId="0" borderId="44" xfId="2" applyFont="1" applyBorder="1" applyAlignment="1">
      <alignment horizontal="center" wrapText="1"/>
    </xf>
    <xf numFmtId="0" fontId="33" fillId="0" borderId="47" xfId="2" applyFont="1" applyBorder="1" applyAlignment="1">
      <alignment horizontal="center" wrapText="1"/>
    </xf>
    <xf numFmtId="0" fontId="33" fillId="0" borderId="48" xfId="2" applyFont="1" applyBorder="1" applyAlignment="1">
      <alignment horizontal="center" wrapText="1"/>
    </xf>
    <xf numFmtId="0" fontId="33" fillId="0" borderId="47" xfId="0" applyFont="1" applyBorder="1" applyAlignment="1">
      <alignment horizontal="center" vertical="center"/>
    </xf>
    <xf numFmtId="0" fontId="33" fillId="0" borderId="48" xfId="0" applyFont="1" applyBorder="1" applyAlignment="1">
      <alignment horizontal="center" vertical="center"/>
    </xf>
    <xf numFmtId="0" fontId="48" fillId="0" borderId="47" xfId="2" applyFont="1" applyBorder="1" applyAlignment="1">
      <alignment horizontal="left" vertical="center"/>
    </xf>
    <xf numFmtId="0" fontId="48" fillId="0" borderId="48" xfId="2" applyFont="1" applyBorder="1" applyAlignment="1">
      <alignment horizontal="left" vertical="center"/>
    </xf>
    <xf numFmtId="0" fontId="49" fillId="0" borderId="42" xfId="0" applyFont="1" applyBorder="1" applyAlignment="1">
      <alignment horizontal="center" vertical="center"/>
    </xf>
    <xf numFmtId="0" fontId="49" fillId="0" borderId="43" xfId="0" applyFont="1" applyBorder="1" applyAlignment="1">
      <alignment horizontal="center" vertical="center"/>
    </xf>
    <xf numFmtId="0" fontId="49" fillId="0" borderId="44" xfId="0" applyFont="1" applyBorder="1" applyAlignment="1">
      <alignment horizontal="center" vertical="center"/>
    </xf>
    <xf numFmtId="1" fontId="49" fillId="0" borderId="42" xfId="0" applyNumberFormat="1" applyFont="1" applyBorder="1" applyAlignment="1">
      <alignment horizontal="center" vertical="center" indent="1"/>
    </xf>
    <xf numFmtId="1" fontId="49" fillId="0" borderId="43" xfId="0" applyNumberFormat="1" applyFont="1" applyBorder="1" applyAlignment="1">
      <alignment horizontal="center" vertical="center" indent="1"/>
    </xf>
    <xf numFmtId="1" fontId="49" fillId="0" borderId="44" xfId="0" applyNumberFormat="1" applyFont="1" applyBorder="1" applyAlignment="1">
      <alignment horizontal="center" vertical="center" indent="1"/>
    </xf>
    <xf numFmtId="0" fontId="49" fillId="0" borderId="54" xfId="0" applyFont="1" applyBorder="1" applyAlignment="1">
      <alignment horizontal="center" vertical="center"/>
    </xf>
    <xf numFmtId="0" fontId="49" fillId="0" borderId="50" xfId="0" applyFont="1" applyBorder="1" applyAlignment="1">
      <alignment horizontal="center" vertical="center"/>
    </xf>
    <xf numFmtId="0" fontId="49" fillId="0" borderId="55" xfId="0" applyFont="1" applyBorder="1" applyAlignment="1">
      <alignment horizontal="center" vertical="center"/>
    </xf>
    <xf numFmtId="0" fontId="50" fillId="0" borderId="47" xfId="2" applyFont="1" applyBorder="1" applyAlignment="1">
      <alignment vertical="center"/>
    </xf>
    <xf numFmtId="0" fontId="50" fillId="0" borderId="48" xfId="2" applyFont="1" applyBorder="1" applyAlignment="1">
      <alignment vertical="center"/>
    </xf>
    <xf numFmtId="0" fontId="50" fillId="0" borderId="47" xfId="2" applyFont="1" applyBorder="1" applyAlignment="1">
      <alignment horizontal="left" vertical="center" wrapText="1"/>
    </xf>
    <xf numFmtId="0" fontId="50" fillId="0" borderId="48" xfId="2" applyFont="1" applyBorder="1" applyAlignment="1">
      <alignment horizontal="left" vertical="center" wrapText="1"/>
    </xf>
    <xf numFmtId="0" fontId="0" fillId="0" borderId="56" xfId="0" applyBorder="1" applyAlignment="1">
      <alignment horizontal="center" vertical="center"/>
    </xf>
    <xf numFmtId="0" fontId="26" fillId="0" borderId="0" xfId="2" applyFont="1" applyAlignment="1">
      <alignment horizontal="left" vertical="center"/>
    </xf>
    <xf numFmtId="0" fontId="26" fillId="0" borderId="0" xfId="2" applyFont="1" applyAlignment="1">
      <alignment horizontal="left" vertical="center" wrapText="1"/>
    </xf>
    <xf numFmtId="0" fontId="26" fillId="0" borderId="0" xfId="2" applyFont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26" fillId="0" borderId="0" xfId="2" applyFont="1" applyBorder="1" applyAlignment="1">
      <alignment horizontal="left" vertical="center"/>
    </xf>
    <xf numFmtId="0" fontId="26" fillId="0" borderId="0" xfId="2" applyFont="1" applyBorder="1" applyAlignment="1">
      <alignment horizontal="left" vertical="center" wrapText="1"/>
    </xf>
  </cellXfs>
  <cellStyles count="9">
    <cellStyle name="Заголовок 1" xfId="3" builtinId="16" customBuiltin="1"/>
    <cellStyle name="Заголовок 2" xfId="4" builtinId="17" customBuiltin="1"/>
    <cellStyle name="Заголовок 3" xfId="8" builtinId="18" customBuiltin="1"/>
    <cellStyle name="Ключевые метрики: заголовок" xfId="5" xr:uid="{00000000-0005-0000-0000-000003000000}"/>
    <cellStyle name="Ключевые метрики: значение" xfId="6" xr:uid="{00000000-0005-0000-0000-000004000000}"/>
    <cellStyle name="Ключевые метрики: процент" xfId="7" xr:uid="{00000000-0005-0000-0000-000005000000}"/>
    <cellStyle name="Название" xfId="2" builtinId="15" customBuiltin="1"/>
    <cellStyle name="Обычный" xfId="0" builtinId="0" customBuiltin="1"/>
    <cellStyle name="Процентный" xfId="1" builtinId="5" customBuiltin="1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 себестоимости в выручке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'Вертикальный анализ'!$B$5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rgbClr val="97D5A8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numRef>
              <c:f>'Вертикальный анализ'!$D$3:$G$3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'Вертикальный анализ'!$D$8:$G$8</c:f>
              <c:numCache>
                <c:formatCode>0</c:formatCode>
                <c:ptCount val="4"/>
                <c:pt idx="0">
                  <c:v>17852</c:v>
                </c:pt>
                <c:pt idx="1">
                  <c:v>16876</c:v>
                </c:pt>
                <c:pt idx="2">
                  <c:v>14409</c:v>
                </c:pt>
                <c:pt idx="3">
                  <c:v>12535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A-BB45-AA7B-8AA9801A405B}"/>
            </c:ext>
          </c:extLst>
        </c:ser>
        <c:ser>
          <c:idx val="1"/>
          <c:order val="1"/>
          <c:tx>
            <c:strRef>
              <c:f>'Вертикальный анализ'!$C$9</c:f>
            </c:strRef>
          </c:tx>
          <c:spPr>
            <a:solidFill>
              <a:srgbClr val="FCD2A5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numRef>
              <c:f>'Вертикальный анализ'!$D$3:$G$3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'Вертикальный анализ'!$D$9:$G$9</c:f>
              <c:numCache>
                <c:formatCode>0</c:formatCode>
                <c:ptCount val="4"/>
                <c:pt idx="0">
                  <c:v>5057</c:v>
                </c:pt>
                <c:pt idx="1">
                  <c:v>6103</c:v>
                </c:pt>
                <c:pt idx="2">
                  <c:v>6344</c:v>
                </c:pt>
                <c:pt idx="3">
                  <c:v>6232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A-BB45-AA7B-8AA9801A4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006703"/>
        <c:axId val="255500096"/>
      </c:areaChart>
      <c:catAx>
        <c:axId val="1162006703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5500096"/>
        <c:crosses val="autoZero"/>
        <c:auto val="1"/>
        <c:lblAlgn val="ctr"/>
        <c:lblOffset val="100"/>
        <c:noMultiLvlLbl val="0"/>
      </c:catAx>
      <c:valAx>
        <c:axId val="25550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2006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оборотных активов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'Построение графиков'!$A$2</c:f>
              <c:strCache>
                <c:ptCount val="1"/>
                <c:pt idx="0">
                  <c:v>Запасы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'Построение графиков'!$B$1:$E$1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графиков'!$B$2:$E$2</c:f>
              <c:numCache>
                <c:formatCode>0</c:formatCode>
                <c:ptCount val="4"/>
                <c:pt idx="0">
                  <c:v>3026</c:v>
                </c:pt>
                <c:pt idx="1">
                  <c:v>4945</c:v>
                </c:pt>
                <c:pt idx="2">
                  <c:v>3817</c:v>
                </c:pt>
                <c:pt idx="3">
                  <c:v>3114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9-9C41-B9A3-8312865EB1C4}"/>
            </c:ext>
          </c:extLst>
        </c:ser>
        <c:ser>
          <c:idx val="1"/>
          <c:order val="1"/>
          <c:tx>
            <c:strRef>
              <c:f>'Построение графиков'!$A$3</c:f>
              <c:strCache>
                <c:ptCount val="1"/>
                <c:pt idx="0">
                  <c:v>Прочее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'Построение графиков'!$B$1:$E$1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графиков'!$B$3:$E$3</c:f>
              <c:numCache>
                <c:formatCode>0</c:formatCode>
                <c:ptCount val="4"/>
                <c:pt idx="0">
                  <c:v>829</c:v>
                </c:pt>
                <c:pt idx="1">
                  <c:v>730</c:v>
                </c:pt>
                <c:pt idx="2">
                  <c:v>622</c:v>
                </c:pt>
                <c:pt idx="3">
                  <c:v>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E9-9C41-B9A3-8312865EB1C4}"/>
            </c:ext>
          </c:extLst>
        </c:ser>
        <c:ser>
          <c:idx val="2"/>
          <c:order val="2"/>
          <c:tx>
            <c:strRef>
              <c:f>'Построение графиков'!$A$4</c:f>
              <c:strCache>
                <c:ptCount val="1"/>
                <c:pt idx="0">
                  <c:v>Торг. и пр. ДЗ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'Построение графиков'!$B$1:$E$1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графиков'!$B$4:$E$4</c:f>
              <c:numCache>
                <c:formatCode>0</c:formatCode>
                <c:ptCount val="4"/>
                <c:pt idx="0">
                  <c:v>468</c:v>
                </c:pt>
                <c:pt idx="1">
                  <c:v>846</c:v>
                </c:pt>
                <c:pt idx="2">
                  <c:v>764</c:v>
                </c:pt>
                <c:pt idx="3">
                  <c:v>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E9-9C41-B9A3-8312865EB1C4}"/>
            </c:ext>
          </c:extLst>
        </c:ser>
        <c:ser>
          <c:idx val="3"/>
          <c:order val="3"/>
          <c:tx>
            <c:strRef>
              <c:f>'Построение графиков'!$A$5</c:f>
              <c:strCache>
                <c:ptCount val="1"/>
                <c:pt idx="0">
                  <c:v>ДС и их экв.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'Построение графиков'!$B$1:$E$1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графиков'!$B$5:$E$5</c:f>
              <c:numCache>
                <c:formatCode>0</c:formatCode>
                <c:ptCount val="4"/>
                <c:pt idx="0">
                  <c:v>5547</c:v>
                </c:pt>
                <c:pt idx="1">
                  <c:v>1882</c:v>
                </c:pt>
                <c:pt idx="2">
                  <c:v>2139</c:v>
                </c:pt>
                <c:pt idx="3">
                  <c:v>1822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E9-9C41-B9A3-8312865EB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116976"/>
        <c:axId val="641865568"/>
      </c:barChart>
      <c:catAx>
        <c:axId val="11211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1865568"/>
        <c:crosses val="autoZero"/>
        <c:auto val="1"/>
        <c:lblAlgn val="ctr"/>
        <c:lblOffset val="100"/>
        <c:noMultiLvlLbl val="0"/>
      </c:catAx>
      <c:valAx>
        <c:axId val="64186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11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Значение</a:t>
            </a:r>
            <a:r>
              <a:rPr lang="ru-RU" baseline="0"/>
              <a:t> коэффициента ликвидности </a:t>
            </a:r>
            <a:r>
              <a:rPr lang="en-US" baseline="0"/>
              <a:t>(QR)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'Построение графиков'!$A$8</c:f>
              <c:strCache>
                <c:ptCount val="1"/>
                <c:pt idx="0">
                  <c:v>Норникель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'Построение графиков'!$B$7:$E$7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графиков'!$B$8:$E$8</c:f>
              <c:numCache>
                <c:formatCode>General</c:formatCode>
                <c:ptCount val="4"/>
                <c:pt idx="0">
                  <c:v>0.84671532846715325</c:v>
                </c:pt>
                <c:pt idx="1">
                  <c:v>0.44973338535570295</c:v>
                </c:pt>
                <c:pt idx="2">
                  <c:v>0.3991620428037595</c:v>
                </c:pt>
                <c:pt idx="3">
                  <c:v>0.63034296333840178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0-5F4B-ACEF-B5FB0C32A4C9}"/>
            </c:ext>
          </c:extLst>
        </c:ser>
        <c:ser>
          <c:idx val="1"/>
          <c:order val="1"/>
          <c:tx>
            <c:strRef>
              <c:f>'Построение графиков'!$A$9</c:f>
              <c:strCache>
                <c:ptCount val="1"/>
                <c:pt idx="0">
                  <c:v>Vale</c:v>
                </c:pt>
              </c:strCache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'Построение графиков'!$B$7:$E$7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графиков'!$B$9:$E$9</c:f>
              <c:numCache>
                <c:formatCode>General</c:formatCode>
                <c:ptCount val="4"/>
                <c:pt idx="0">
                  <c:v>1.1457926295223337</c:v>
                </c:pt>
                <c:pt idx="1">
                  <c:v>0.79504715283276939</c:v>
                </c:pt>
                <c:pt idx="2">
                  <c:v>0.71541081311196253</c:v>
                </c:pt>
                <c:pt idx="3">
                  <c:v>0.67807486631016045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0-5F4B-ACEF-B5FB0C32A4C9}"/>
            </c:ext>
          </c:extLst>
        </c:ser>
        <c:ser>
          <c:idx val="2"/>
          <c:order val="2"/>
          <c:tx>
            <c:strRef>
              <c:f>'Построение графиков'!$A$10</c:f>
              <c:strCache>
                <c:ptCount val="1"/>
                <c:pt idx="0">
                  <c:v>Anglo American</c:v>
                </c:pt>
              </c:strCache>
            </c:strRef>
          </c:tx>
          <c:spPr>
            <a:ln w="28575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'Построение графиков'!$B$7:$E$7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графиков'!$B$10:$E$10</c:f>
              <c:numCache>
                <c:formatCode>General</c:formatCode>
                <c:ptCount val="4"/>
                <c:pt idx="0">
                  <c:v>0.90644258695190205</c:v>
                </c:pt>
                <c:pt idx="1">
                  <c:v>1.0354823707735501</c:v>
                </c:pt>
                <c:pt idx="2">
                  <c:v>0.96359104369500836</c:v>
                </c:pt>
                <c:pt idx="3">
                  <c:v>0.74612536307398936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F0-5F4B-ACEF-B5FB0C32A4C9}"/>
            </c:ext>
          </c:extLst>
        </c:ser>
        <c:ser>
          <c:idx val="3"/>
          <c:order val="3"/>
          <c:tx>
            <c:strRef>
              <c:f>'Построение графиков'!$A$11</c:f>
              <c:strCache>
                <c:ptCount val="1"/>
                <c:pt idx="0">
                  <c:v>Impala</c:v>
                </c:pt>
              </c:strCache>
            </c:strRef>
          </c:tx>
          <c:spPr>
            <a:ln w="28575" cap="rnd">
              <a:solidFill>
                <a:schemeClr val="accent2">
                  <a:alpha val="50303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'Построение графиков'!$B$7:$E$7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графиков'!$B$11:$E$11</c:f>
              <c:numCache>
                <c:formatCode>General</c:formatCode>
                <c:ptCount val="4"/>
                <c:pt idx="0">
                  <c:v>1.9086719496431181</c:v>
                </c:pt>
                <c:pt idx="1">
                  <c:v>2.1873153674564412</c:v>
                </c:pt>
                <c:pt idx="2">
                  <c:v>2.4582390221819832</c:v>
                </c:pt>
                <c:pt idx="3">
                  <c:v>1.4253740204227023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F0-5F4B-ACEF-B5FB0C32A4C9}"/>
            </c:ext>
          </c:extLst>
        </c:ser>
        <c:ser>
          <c:idx val="4"/>
          <c:order val="4"/>
          <c:tx>
            <c:strRef>
              <c:f>'Построение графиков'!$A$12</c:f>
              <c:strCache>
                <c:ptCount val="1"/>
                <c:pt idx="0">
                  <c:v>мин, желаемое значение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'Построение графиков'!$B$7:$E$7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CC-C042-8BA4-D6933F76A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311359"/>
        <c:axId val="1027982047"/>
      </c:lineChart>
      <c:catAx>
        <c:axId val="129631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7982047"/>
        <c:crosses val="autoZero"/>
        <c:auto val="1"/>
        <c:lblAlgn val="ctr"/>
        <c:lblOffset val="100"/>
        <c:noMultiLvlLbl val="0"/>
      </c:catAx>
      <c:valAx>
        <c:axId val="102798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631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u="none" strike="noStrike" baseline="0">
                <a:effectLst/>
              </a:rPr>
              <a:t>Рентабельность задействованного капитала (</a:t>
            </a:r>
            <a:r>
              <a:rPr lang="en" sz="1800" b="0" i="0" u="none" strike="noStrike" baseline="0">
                <a:effectLst/>
              </a:rPr>
              <a:t>ROCE)</a:t>
            </a:r>
            <a:r>
              <a:rPr lang="en" sz="1800" b="0" i="0" u="none" strike="noStrike" baseline="0"/>
              <a:t> </a:t>
            </a:r>
            <a:endParaRPr lang="ru-RU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'Построение графиков'!$A$64</c:f>
              <c:strCache>
                <c:ptCount val="1"/>
                <c:pt idx="0">
                  <c:v>Норникель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'Построение графиков'!$B$63:$E$63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графиков'!$B$64:$E$64</c:f>
              <c:numCache>
                <c:formatCode>General</c:formatCode>
                <c:ptCount val="4"/>
                <c:pt idx="0">
                  <c:v>0.62115685252735797</c:v>
                </c:pt>
                <c:pt idx="1">
                  <c:v>0.41870098309952503</c:v>
                </c:pt>
                <c:pt idx="2">
                  <c:v>0.375618686012611</c:v>
                </c:pt>
                <c:pt idx="3">
                  <c:v>0.20717639557127124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EB-B34C-8B7D-A166DA12FAF6}"/>
            </c:ext>
          </c:extLst>
        </c:ser>
        <c:ser>
          <c:idx val="1"/>
          <c:order val="1"/>
          <c:tx>
            <c:strRef>
              <c:f>'Построение графиков'!$A$65</c:f>
              <c:strCache>
                <c:ptCount val="1"/>
                <c:pt idx="0">
                  <c:v>Vale</c:v>
                </c:pt>
              </c:strCache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'Построение графиков'!$B$63:$E$63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графиков'!$B$65:$E$65</c:f>
              <c:numCache>
                <c:formatCode>General</c:formatCode>
                <c:ptCount val="4"/>
                <c:pt idx="0">
                  <c:v>0.37299983837077744</c:v>
                </c:pt>
                <c:pt idx="1">
                  <c:v>0.23571634042436612</c:v>
                </c:pt>
                <c:pt idx="2">
                  <c:v>0.17860959877280558</c:v>
                </c:pt>
                <c:pt idx="3">
                  <c:v>0.13682888778965793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EB-B34C-8B7D-A166DA12FAF6}"/>
            </c:ext>
          </c:extLst>
        </c:ser>
        <c:ser>
          <c:idx val="2"/>
          <c:order val="2"/>
          <c:tx>
            <c:strRef>
              <c:f>'Построение графиков'!$A$66</c:f>
              <c:strCache>
                <c:ptCount val="1"/>
                <c:pt idx="0">
                  <c:v>Anglo American</c:v>
                </c:pt>
              </c:strCache>
            </c:strRef>
          </c:tx>
          <c:spPr>
            <a:ln w="28575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'Построение графиков'!$B$63:$E$63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графиков'!$B$66:$E$66</c:f>
              <c:numCache>
                <c:formatCode>General</c:formatCode>
                <c:ptCount val="4"/>
                <c:pt idx="0">
                  <c:v>0.79026292713439483</c:v>
                </c:pt>
                <c:pt idx="1">
                  <c:v>0.63417799613592785</c:v>
                </c:pt>
                <c:pt idx="2">
                  <c:v>0.18229332396042769</c:v>
                </c:pt>
                <c:pt idx="3">
                  <c:v>0.14074533121802282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EB-B34C-8B7D-A166DA12FAF6}"/>
            </c:ext>
          </c:extLst>
        </c:ser>
        <c:ser>
          <c:idx val="3"/>
          <c:order val="3"/>
          <c:tx>
            <c:strRef>
              <c:f>'Построение графиков'!$A$67</c:f>
              <c:strCache>
                <c:ptCount val="1"/>
                <c:pt idx="0">
                  <c:v>Impala</c:v>
                </c:pt>
              </c:strCache>
            </c:strRef>
          </c:tx>
          <c:spPr>
            <a:ln w="28575" cap="rnd">
              <a:solidFill>
                <a:schemeClr val="accent4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'Построение графиков'!$B$63:$E$63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графиков'!$B$67:$E$67</c:f>
              <c:numCache>
                <c:formatCode>General</c:formatCode>
                <c:ptCount val="4"/>
                <c:pt idx="0">
                  <c:v>0.45735455542047249</c:v>
                </c:pt>
                <c:pt idx="1">
                  <c:v>0.31636685835935546</c:v>
                </c:pt>
                <c:pt idx="2">
                  <c:v>0.15618616252959278</c:v>
                </c:pt>
                <c:pt idx="3">
                  <c:v>4.577566055879894E-2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EB-B34C-8B7D-A166DA12FAF6}"/>
            </c:ext>
          </c:extLst>
        </c:ser>
        <c:ser>
          <c:idx val="4"/>
          <c:order val="4"/>
          <c:tx>
            <c:strRef>
              <c:f>'Построение графиков'!$A$68</c:f>
              <c:strCache>
                <c:ptCount val="1"/>
                <c:pt idx="0">
                  <c:v>мин, желаемое значение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'Построение графиков'!$B$63:$E$63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графиков'!$B$68:$E$68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EB-B34C-8B7D-A166DA12F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4767167"/>
        <c:axId val="1404997423"/>
      </c:lineChart>
      <c:catAx>
        <c:axId val="140476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4997423"/>
        <c:crosses val="autoZero"/>
        <c:auto val="1"/>
        <c:lblAlgn val="ctr"/>
        <c:lblOffset val="100"/>
        <c:noMultiLvlLbl val="0"/>
      </c:catAx>
      <c:valAx>
        <c:axId val="140499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476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u="none" strike="noStrike" baseline="0">
                <a:effectLst/>
              </a:rPr>
              <a:t>Маржа валовой прибыли </a:t>
            </a:r>
          </a:p>
          <a:p>
            <a:pPr>
              <a:defRPr sz="1800"/>
            </a:pPr>
            <a:r>
              <a:rPr lang="ru-RU" sz="1800" b="0" i="0" u="none" strike="noStrike" baseline="0">
                <a:effectLst/>
              </a:rPr>
              <a:t>(</a:t>
            </a:r>
            <a:r>
              <a:rPr lang="en" sz="1800" b="0" i="0" u="none" strike="noStrike" baseline="0">
                <a:effectLst/>
              </a:rPr>
              <a:t>Gross profit margin)</a:t>
            </a:r>
            <a:r>
              <a:rPr lang="en" sz="1800" b="0" i="0" u="none" strike="noStrike" baseline="0"/>
              <a:t> </a:t>
            </a:r>
            <a:endParaRPr lang="ru-RU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'Построение графиков'!$A$72</c:f>
              <c:strCache>
                <c:ptCount val="1"/>
                <c:pt idx="0">
                  <c:v>Норникель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'Построение графиков'!$B$71:$E$71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графиков'!$B$72:$E$72</c:f>
              <c:numCache>
                <c:formatCode>0.00</c:formatCode>
                <c:ptCount val="4"/>
                <c:pt idx="0">
                  <c:v>0.67454626932556572</c:v>
                </c:pt>
                <c:pt idx="1">
                  <c:v>0.59036501540649444</c:v>
                </c:pt>
                <c:pt idx="2">
                  <c:v>0.51197168436393925</c:v>
                </c:pt>
                <c:pt idx="3">
                  <c:v>0.45049860390905466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E-1C4E-AE06-95EB7DD47DC4}"/>
            </c:ext>
          </c:extLst>
        </c:ser>
        <c:ser>
          <c:idx val="1"/>
          <c:order val="1"/>
          <c:tx>
            <c:strRef>
              <c:f>'Построение графиков'!$A$73</c:f>
              <c:strCache>
                <c:ptCount val="1"/>
                <c:pt idx="0">
                  <c:v>Vale</c:v>
                </c:pt>
              </c:strCache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'Построение графиков'!$B$71:$E$71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графиков'!$B$73:$E$73</c:f>
              <c:numCache>
                <c:formatCode>0.00</c:formatCode>
                <c:ptCount val="4"/>
                <c:pt idx="0">
                  <c:v>0.6013173828483358</c:v>
                </c:pt>
                <c:pt idx="1">
                  <c:v>0.45190355619425626</c:v>
                </c:pt>
                <c:pt idx="2">
                  <c:v>0.42348745931457016</c:v>
                </c:pt>
                <c:pt idx="3">
                  <c:v>0.36238700861887746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E-1C4E-AE06-95EB7DD47DC4}"/>
            </c:ext>
          </c:extLst>
        </c:ser>
        <c:ser>
          <c:idx val="2"/>
          <c:order val="2"/>
          <c:tx>
            <c:strRef>
              <c:f>'Построение графиков'!$A$74</c:f>
              <c:strCache>
                <c:ptCount val="1"/>
                <c:pt idx="0">
                  <c:v>Anglo American</c:v>
                </c:pt>
              </c:strCache>
            </c:strRef>
          </c:tx>
          <c:spPr>
            <a:ln w="28575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'Построение графиков'!$B$71:$E$71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графиков'!$B$74:$E$74</c:f>
              <c:numCache>
                <c:formatCode>0.00</c:formatCode>
                <c:ptCount val="4"/>
                <c:pt idx="0">
                  <c:v>0.48987733492412661</c:v>
                </c:pt>
                <c:pt idx="1">
                  <c:v>0.429715400085319</c:v>
                </c:pt>
                <c:pt idx="2">
                  <c:v>0.16866667201785154</c:v>
                </c:pt>
                <c:pt idx="3">
                  <c:v>0.16715755090056614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1E-1C4E-AE06-95EB7DD47DC4}"/>
            </c:ext>
          </c:extLst>
        </c:ser>
        <c:ser>
          <c:idx val="3"/>
          <c:order val="3"/>
          <c:tx>
            <c:strRef>
              <c:f>'Построение графиков'!$A$75</c:f>
              <c:strCache>
                <c:ptCount val="1"/>
                <c:pt idx="0">
                  <c:v>Impala</c:v>
                </c:pt>
              </c:strCache>
            </c:strRef>
          </c:tx>
          <c:spPr>
            <a:ln w="28575" cap="rnd">
              <a:solidFill>
                <a:schemeClr val="accent4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'Построение графиков'!$B$71:$E$71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графиков'!$B$75:$E$75</c:f>
              <c:numCache>
                <c:formatCode>0.00</c:formatCode>
                <c:ptCount val="4"/>
                <c:pt idx="0">
                  <c:v>0.41254099942118466</c:v>
                </c:pt>
                <c:pt idx="1">
                  <c:v>0.34889125511273367</c:v>
                </c:pt>
                <c:pt idx="2">
                  <c:v>0.20956151378126348</c:v>
                </c:pt>
                <c:pt idx="3">
                  <c:v>6.3276927706659866E-2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1E-1C4E-AE06-95EB7DD47DC4}"/>
            </c:ext>
          </c:extLst>
        </c:ser>
        <c:ser>
          <c:idx val="4"/>
          <c:order val="4"/>
          <c:tx>
            <c:strRef>
              <c:f>'Построение графиков'!$A$76</c:f>
              <c:strCache>
                <c:ptCount val="1"/>
                <c:pt idx="0">
                  <c:v>мин, желаемое значение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'Построение графиков'!$B$71:$E$71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графиков'!$B$76:$E$76</c:f>
              <c:numCache>
                <c:formatCode>0.00</c:formatCode>
                <c:ptCount val="4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1E-1C4E-AE06-95EB7DD47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088415"/>
        <c:axId val="2042987935"/>
      </c:lineChart>
      <c:catAx>
        <c:axId val="196508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987935"/>
        <c:crosses val="autoZero"/>
        <c:auto val="1"/>
        <c:lblAlgn val="ctr"/>
        <c:lblOffset val="100"/>
        <c:noMultiLvlLbl val="0"/>
      </c:catAx>
      <c:valAx>
        <c:axId val="204298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508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u="none" strike="noStrike" baseline="0">
                <a:effectLst/>
              </a:rPr>
              <a:t>Маржа чистой прибыли </a:t>
            </a:r>
          </a:p>
          <a:p>
            <a:pPr>
              <a:defRPr sz="1800"/>
            </a:pPr>
            <a:r>
              <a:rPr lang="ru-RU" sz="1800" b="0" i="0" u="none" strike="noStrike" baseline="0">
                <a:effectLst/>
              </a:rPr>
              <a:t>(</a:t>
            </a:r>
            <a:r>
              <a:rPr lang="en" sz="1800" b="0" i="0" u="none" strike="noStrike" baseline="0">
                <a:effectLst/>
              </a:rPr>
              <a:t>Net profit margin)</a:t>
            </a:r>
            <a:r>
              <a:rPr lang="en" sz="1800" b="0" i="0" u="none" strike="noStrike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'Построение графиков'!$A$80</c:f>
              <c:strCache>
                <c:ptCount val="1"/>
                <c:pt idx="0">
                  <c:v>Норникель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'Построение графиков'!$B$79:$E$79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графиков'!$B$80:$E$80</c:f>
              <c:numCache>
                <c:formatCode>0.00</c:formatCode>
                <c:ptCount val="4"/>
                <c:pt idx="0">
                  <c:v>0.39065650907461347</c:v>
                </c:pt>
                <c:pt idx="1">
                  <c:v>0.34688314766532352</c:v>
                </c:pt>
                <c:pt idx="2">
                  <c:v>0.19918106738843777</c:v>
                </c:pt>
                <c:pt idx="3">
                  <c:v>0.14479457518946948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6-5A4A-9DFB-CA17B5F039A6}"/>
            </c:ext>
          </c:extLst>
        </c:ser>
        <c:ser>
          <c:idx val="1"/>
          <c:order val="1"/>
          <c:tx>
            <c:strRef>
              <c:f>'Построение графиков'!$A$81</c:f>
              <c:strCache>
                <c:ptCount val="1"/>
                <c:pt idx="0">
                  <c:v>Vale</c:v>
                </c:pt>
              </c:strCache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'Построение графиков'!$B$79:$E$79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графиков'!$B$81:$E$81</c:f>
              <c:numCache>
                <c:formatCode>0.00</c:formatCode>
                <c:ptCount val="4"/>
                <c:pt idx="0">
                  <c:v>0.45583648306484165</c:v>
                </c:pt>
                <c:pt idx="1">
                  <c:v>0.38344852756677844</c:v>
                </c:pt>
                <c:pt idx="2">
                  <c:v>0.19397376986406281</c:v>
                </c:pt>
                <c:pt idx="3">
                  <c:v>0.16202438511667017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76-5A4A-9DFB-CA17B5F039A6}"/>
            </c:ext>
          </c:extLst>
        </c:ser>
        <c:ser>
          <c:idx val="2"/>
          <c:order val="2"/>
          <c:tx>
            <c:strRef>
              <c:f>'Построение графиков'!$A$82</c:f>
              <c:strCache>
                <c:ptCount val="1"/>
                <c:pt idx="0">
                  <c:v>Anglo American</c:v>
                </c:pt>
              </c:strCache>
            </c:strRef>
          </c:tx>
          <c:spPr>
            <a:ln w="28575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'Построение графиков'!$B$79:$E$79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графиков'!$B$82:$E$82</c:f>
              <c:numCache>
                <c:formatCode>0.00</c:formatCode>
                <c:ptCount val="4"/>
                <c:pt idx="0">
                  <c:v>0.36827951977927742</c:v>
                </c:pt>
                <c:pt idx="1">
                  <c:v>0.3004205009446036</c:v>
                </c:pt>
                <c:pt idx="2">
                  <c:v>0.10792804796802132</c:v>
                </c:pt>
                <c:pt idx="3">
                  <c:v>6.7833778340536027E-2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76-5A4A-9DFB-CA17B5F039A6}"/>
            </c:ext>
          </c:extLst>
        </c:ser>
        <c:ser>
          <c:idx val="3"/>
          <c:order val="3"/>
          <c:tx>
            <c:strRef>
              <c:f>'Построение графиков'!$A$83</c:f>
              <c:strCache>
                <c:ptCount val="1"/>
                <c:pt idx="0">
                  <c:v>Impala</c:v>
                </c:pt>
              </c:strCache>
            </c:strRef>
          </c:tx>
          <c:spPr>
            <a:ln w="28575" cap="rnd">
              <a:solidFill>
                <a:schemeClr val="accent4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'Построение графиков'!$B$79:$E$79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графиков'!$B$83:$E$83</c:f>
              <c:numCache>
                <c:formatCode>0.00</c:formatCode>
                <c:ptCount val="4"/>
                <c:pt idx="0">
                  <c:v>0.36932278603125601</c:v>
                </c:pt>
                <c:pt idx="1">
                  <c:v>0.28005104282865162</c:v>
                </c:pt>
                <c:pt idx="2">
                  <c:v>5.795823404694448E-2</c:v>
                </c:pt>
                <c:pt idx="3">
                  <c:v>-0.19851153961897267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76-5A4A-9DFB-CA17B5F039A6}"/>
            </c:ext>
          </c:extLst>
        </c:ser>
        <c:ser>
          <c:idx val="4"/>
          <c:order val="4"/>
          <c:tx>
            <c:strRef>
              <c:f>'Построение графиков'!$A$84</c:f>
              <c:strCache>
                <c:ptCount val="1"/>
                <c:pt idx="0">
                  <c:v>мин, желаемое значение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'Построение графиков'!$B$79:$E$79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графиков'!$B$84:$E$84</c:f>
              <c:numCache>
                <c:formatCode>0.00</c:formatCode>
                <c:ptCount val="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76-5A4A-9DFB-CA17B5F03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480015"/>
        <c:axId val="1963540063"/>
      </c:lineChart>
      <c:catAx>
        <c:axId val="194248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540063"/>
        <c:crosses val="autoZero"/>
        <c:auto val="1"/>
        <c:lblAlgn val="ctr"/>
        <c:lblOffset val="100"/>
        <c:noMultiLvlLbl val="0"/>
      </c:catAx>
      <c:valAx>
        <c:axId val="196354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248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</a:t>
            </a:r>
            <a:r>
              <a:rPr lang="ru-RU" baseline="0"/>
              <a:t> компаний</a:t>
            </a:r>
            <a:endParaRPr lang="az-Cyrl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Cyrl-A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'Построение графиков'!$A$15</c:f>
              <c:strCache>
                <c:ptCount val="1"/>
                <c:pt idx="0">
                  <c:v>Норникель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'Построение графиков'!$F$14:$I$14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графиков'!$F$15:$I$15</c:f>
              <c:numCache>
                <c:formatCode>0%</c:formatCode>
                <c:ptCount val="4"/>
                <c:pt idx="0">
                  <c:v>1</c:v>
                </c:pt>
                <c:pt idx="1">
                  <c:v>0.94532825453730673</c:v>
                </c:pt>
                <c:pt idx="2">
                  <c:v>0.80713645529912614</c:v>
                </c:pt>
                <c:pt idx="3">
                  <c:v>0.70216222272014339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0E-4412-947D-A959072D1500}"/>
            </c:ext>
          </c:extLst>
        </c:ser>
        <c:ser>
          <c:idx val="1"/>
          <c:order val="1"/>
          <c:tx>
            <c:strRef>
              <c:f>'Построение графиков'!$A$16</c:f>
              <c:strCache>
                <c:ptCount val="1"/>
                <c:pt idx="0">
                  <c:v>Vale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'Построение графиков'!$F$14:$I$14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графиков'!$F$16:$I$16</c:f>
              <c:numCache>
                <c:formatCode>0%</c:formatCode>
                <c:ptCount val="4"/>
                <c:pt idx="0">
                  <c:v>1</c:v>
                </c:pt>
                <c:pt idx="1">
                  <c:v>0.80435580345675384</c:v>
                </c:pt>
                <c:pt idx="2">
                  <c:v>0.76665076510953722</c:v>
                </c:pt>
                <c:pt idx="3">
                  <c:v>0.69824960551906357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0E-4412-947D-A959072D1500}"/>
            </c:ext>
          </c:extLst>
        </c:ser>
        <c:ser>
          <c:idx val="2"/>
          <c:order val="2"/>
          <c:tx>
            <c:strRef>
              <c:f>'Построение графиков'!$A$17</c:f>
              <c:strCache>
                <c:ptCount val="1"/>
                <c:pt idx="0">
                  <c:v>Anglo American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'Построение графиков'!$F$14:$I$14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графиков'!$F$17:$I$17</c:f>
              <c:numCache>
                <c:formatCode>0%</c:formatCode>
                <c:ptCount val="4"/>
                <c:pt idx="0">
                  <c:v>1</c:v>
                </c:pt>
                <c:pt idx="1">
                  <c:v>0.7737902092036556</c:v>
                </c:pt>
                <c:pt idx="2">
                  <c:v>0.50318434913872934</c:v>
                </c:pt>
                <c:pt idx="3">
                  <c:v>0.4180773874089862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0E-4412-947D-A959072D1500}"/>
            </c:ext>
          </c:extLst>
        </c:ser>
        <c:ser>
          <c:idx val="3"/>
          <c:order val="3"/>
          <c:tx>
            <c:strRef>
              <c:f>'Построение графиков'!$A$18</c:f>
              <c:strCache>
                <c:ptCount val="1"/>
                <c:pt idx="0">
                  <c:v>Impala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'Построение графиков'!$F$14:$I$14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графиков'!$F$18:$I$18</c:f>
              <c:numCache>
                <c:formatCode>0%</c:formatCode>
                <c:ptCount val="4"/>
                <c:pt idx="0">
                  <c:v>1</c:v>
                </c:pt>
                <c:pt idx="1">
                  <c:v>0.92403209420872789</c:v>
                </c:pt>
                <c:pt idx="2">
                  <c:v>0.71292662660307482</c:v>
                </c:pt>
                <c:pt idx="3">
                  <c:v>0.54881933732086552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AC-DE4A-986C-B26A7B4A6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491528"/>
        <c:axId val="976493576"/>
      </c:lineChart>
      <c:catAx>
        <c:axId val="97649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93576"/>
        <c:crosses val="autoZero"/>
        <c:auto val="1"/>
        <c:lblAlgn val="ctr"/>
        <c:lblOffset val="100"/>
        <c:noMultiLvlLbl val="0"/>
      </c:catAx>
      <c:valAx>
        <c:axId val="976493576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91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u="none" strike="noStrike" baseline="0">
                <a:effectLst/>
              </a:rPr>
              <a:t>Рентабельность собственного капитала (</a:t>
            </a:r>
            <a:r>
              <a:rPr lang="en" sz="1800" b="0" i="0" u="none" strike="noStrike" baseline="0">
                <a:effectLst/>
              </a:rPr>
              <a:t>ROE)</a:t>
            </a:r>
            <a:r>
              <a:rPr lang="en" sz="1800" b="0" i="0" u="none" strike="noStrike" baseline="0"/>
              <a:t> </a:t>
            </a:r>
            <a:endParaRPr lang="ru-RU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'Построение графиков'!$A$88</c:f>
              <c:strCache>
                <c:ptCount val="1"/>
                <c:pt idx="0">
                  <c:v>Норникель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'Построение графиков'!$B$87:$E$87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графиков'!$B$88:$E$88</c:f>
              <c:numCache>
                <c:formatCode>0.00</c:formatCode>
                <c:ptCount val="4"/>
                <c:pt idx="0">
                  <c:v>1.4565580618212197</c:v>
                </c:pt>
                <c:pt idx="1">
                  <c:v>0.68331971518617951</c:v>
                </c:pt>
                <c:pt idx="2">
                  <c:v>0.37788018433179721</c:v>
                </c:pt>
                <c:pt idx="3">
                  <c:v>0.22415709522045202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64-7145-BA6E-B14037E48B1C}"/>
            </c:ext>
          </c:extLst>
        </c:ser>
        <c:ser>
          <c:idx val="1"/>
          <c:order val="1"/>
          <c:tx>
            <c:strRef>
              <c:f>'Построение графиков'!$A$89</c:f>
              <c:strCache>
                <c:ptCount val="1"/>
                <c:pt idx="0">
                  <c:v>Vale</c:v>
                </c:pt>
              </c:strCache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'Построение графиков'!$B$87:$E$87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графиков'!$B$89:$E$89</c:f>
              <c:numCache>
                <c:formatCode>0.00</c:formatCode>
                <c:ptCount val="4"/>
                <c:pt idx="0">
                  <c:v>0.70367642893559168</c:v>
                </c:pt>
                <c:pt idx="1">
                  <c:v>0.44997055516890627</c:v>
                </c:pt>
                <c:pt idx="2">
                  <c:v>0.19777457846319027</c:v>
                </c:pt>
                <c:pt idx="3">
                  <c:v>0.17857970342910101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64-7145-BA6E-B14037E48B1C}"/>
            </c:ext>
          </c:extLst>
        </c:ser>
        <c:ser>
          <c:idx val="2"/>
          <c:order val="2"/>
          <c:tx>
            <c:strRef>
              <c:f>'Построение графиков'!$A$90</c:f>
              <c:strCache>
                <c:ptCount val="1"/>
                <c:pt idx="0">
                  <c:v>Anglo American</c:v>
                </c:pt>
              </c:strCache>
            </c:strRef>
          </c:tx>
          <c:spPr>
            <a:ln w="28575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'Построение графиков'!$B$87:$E$87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графиков'!$B$90:$E$90</c:f>
              <c:numCache>
                <c:formatCode>0.00</c:formatCode>
                <c:ptCount val="4"/>
                <c:pt idx="0">
                  <c:v>0.71792151961375217</c:v>
                </c:pt>
                <c:pt idx="1">
                  <c:v>0.54347931146929662</c:v>
                </c:pt>
                <c:pt idx="2">
                  <c:v>0.14258211651808192</c:v>
                </c:pt>
                <c:pt idx="3">
                  <c:v>7.0387992996074192E-2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64-7145-BA6E-B14037E48B1C}"/>
            </c:ext>
          </c:extLst>
        </c:ser>
        <c:ser>
          <c:idx val="3"/>
          <c:order val="3"/>
          <c:tx>
            <c:strRef>
              <c:f>'Построение графиков'!$A$91</c:f>
              <c:strCache>
                <c:ptCount val="1"/>
                <c:pt idx="0">
                  <c:v>Impala</c:v>
                </c:pt>
              </c:strCache>
            </c:strRef>
          </c:tx>
          <c:spPr>
            <a:ln w="28575" cap="rnd">
              <a:solidFill>
                <a:schemeClr val="accent4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'Построение графиков'!$B$87:$E$87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графиков'!$B$91:$E$91</c:f>
              <c:numCache>
                <c:formatCode>0.00</c:formatCode>
                <c:ptCount val="4"/>
                <c:pt idx="0">
                  <c:v>2.1000960434628846</c:v>
                </c:pt>
                <c:pt idx="1">
                  <c:v>1.5348873084990333</c:v>
                </c:pt>
                <c:pt idx="2">
                  <c:v>0.25382384180351841</c:v>
                </c:pt>
                <c:pt idx="3">
                  <c:v>-0.53622101560423496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64-7145-BA6E-B14037E48B1C}"/>
            </c:ext>
          </c:extLst>
        </c:ser>
        <c:ser>
          <c:idx val="4"/>
          <c:order val="4"/>
          <c:tx>
            <c:strRef>
              <c:f>'Построение графиков'!$A$92</c:f>
              <c:strCache>
                <c:ptCount val="1"/>
                <c:pt idx="0">
                  <c:v>мин, желаемое значение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'Построение графиков'!$B$87:$E$87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графиков'!$B$92:$E$92</c:f>
              <c:numCache>
                <c:formatCode>0.00</c:formatCode>
                <c:ptCount val="4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64-7145-BA6E-B14037E48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56672"/>
        <c:axId val="39097840"/>
      </c:lineChart>
      <c:catAx>
        <c:axId val="3975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097840"/>
        <c:crosses val="autoZero"/>
        <c:auto val="1"/>
        <c:lblAlgn val="ctr"/>
        <c:lblOffset val="100"/>
        <c:noMultiLvlLbl val="0"/>
      </c:catAx>
      <c:valAx>
        <c:axId val="3909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75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Коэффициент срочной ливидности (</a:t>
            </a:r>
            <a:r>
              <a:rPr lang="en" sz="1400" b="0" i="0" u="none" strike="noStrike" baseline="0">
                <a:effectLst/>
              </a:rPr>
              <a:t>QR)</a:t>
            </a:r>
            <a:r>
              <a:rPr lang="en" sz="1400" b="0" i="0" u="none" strike="noStrike" baseline="0"/>
              <a:t> </a:t>
            </a:r>
            <a:r>
              <a:rPr lang="ru-R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'Построение графиков'!$A$8</c:f>
              <c:strCache>
                <c:ptCount val="1"/>
                <c:pt idx="0">
                  <c:v>Норникель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'Построение графиков'!$B$7:$E$7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графиков'!$B$8:$E$8</c:f>
              <c:numCache>
                <c:formatCode>General</c:formatCode>
                <c:ptCount val="4"/>
                <c:pt idx="0">
                  <c:v>0.84671532846715325</c:v>
                </c:pt>
                <c:pt idx="1">
                  <c:v>0.44973338535570295</c:v>
                </c:pt>
                <c:pt idx="2">
                  <c:v>0.3991620428037595</c:v>
                </c:pt>
                <c:pt idx="3">
                  <c:v>0.63034296333840178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43-F14B-8FE4-78C24A978DE3}"/>
            </c:ext>
          </c:extLst>
        </c:ser>
        <c:ser>
          <c:idx val="1"/>
          <c:order val="1"/>
          <c:tx>
            <c:strRef>
              <c:f>'Построение графиков'!$A$9</c:f>
              <c:strCache>
                <c:ptCount val="1"/>
                <c:pt idx="0">
                  <c:v>Vale</c:v>
                </c:pt>
              </c:strCache>
            </c:strRef>
          </c:tx>
          <c:spPr>
            <a:ln w="28575" cap="rnd">
              <a:solidFill>
                <a:schemeClr val="accent4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'Построение графиков'!$B$7:$E$7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графиков'!$B$9:$E$9</c:f>
              <c:numCache>
                <c:formatCode>General</c:formatCode>
                <c:ptCount val="4"/>
                <c:pt idx="0">
                  <c:v>1.1457926295223337</c:v>
                </c:pt>
                <c:pt idx="1">
                  <c:v>0.79504715283276939</c:v>
                </c:pt>
                <c:pt idx="2">
                  <c:v>0.71541081311196253</c:v>
                </c:pt>
                <c:pt idx="3">
                  <c:v>0.67807486631016045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43-F14B-8FE4-78C24A978DE3}"/>
            </c:ext>
          </c:extLst>
        </c:ser>
        <c:ser>
          <c:idx val="2"/>
          <c:order val="2"/>
          <c:tx>
            <c:strRef>
              <c:f>'Построение графиков'!$A$10</c:f>
              <c:strCache>
                <c:ptCount val="1"/>
                <c:pt idx="0">
                  <c:v>Anglo American</c:v>
                </c:pt>
              </c:strCache>
            </c:strRef>
          </c:tx>
          <c:spPr>
            <a:ln w="28575" cap="rnd">
              <a:solidFill>
                <a:schemeClr val="accent4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'Построение графиков'!$B$7:$E$7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графиков'!$B$10:$E$10</c:f>
              <c:numCache>
                <c:formatCode>General</c:formatCode>
                <c:ptCount val="4"/>
                <c:pt idx="0">
                  <c:v>0.90644258695190205</c:v>
                </c:pt>
                <c:pt idx="1">
                  <c:v>1.0354823707735501</c:v>
                </c:pt>
                <c:pt idx="2">
                  <c:v>0.96359104369500836</c:v>
                </c:pt>
                <c:pt idx="3">
                  <c:v>0.74612536307398936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43-F14B-8FE4-78C24A978DE3}"/>
            </c:ext>
          </c:extLst>
        </c:ser>
        <c:ser>
          <c:idx val="3"/>
          <c:order val="3"/>
          <c:tx>
            <c:strRef>
              <c:f>'Построение графиков'!$A$11</c:f>
              <c:strCache>
                <c:ptCount val="1"/>
                <c:pt idx="0">
                  <c:v>Impala</c:v>
                </c:pt>
              </c:strCache>
            </c:strRef>
          </c:tx>
          <c:spPr>
            <a:ln w="28575" cap="rnd">
              <a:solidFill>
                <a:schemeClr val="accent4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'Построение графиков'!$B$7:$E$7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графиков'!$B$11:$E$11</c:f>
              <c:numCache>
                <c:formatCode>General</c:formatCode>
                <c:ptCount val="4"/>
                <c:pt idx="0">
                  <c:v>1.9086719496431181</c:v>
                </c:pt>
                <c:pt idx="1">
                  <c:v>2.1873153674564412</c:v>
                </c:pt>
                <c:pt idx="2">
                  <c:v>2.4582390221819832</c:v>
                </c:pt>
                <c:pt idx="3">
                  <c:v>1.4253740204227023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43-F14B-8FE4-78C24A978DE3}"/>
            </c:ext>
          </c:extLst>
        </c:ser>
        <c:ser>
          <c:idx val="4"/>
          <c:order val="4"/>
          <c:tx>
            <c:strRef>
              <c:f>'Построение графиков'!$A$12</c:f>
              <c:strCache>
                <c:ptCount val="1"/>
                <c:pt idx="0">
                  <c:v>мин, желаемое значение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'Построение графиков'!$B$7:$E$7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'Построение графиков'!$B$12:$E$12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43-F14B-8FE4-78C24A978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646815"/>
        <c:axId val="2017378239"/>
      </c:lineChart>
      <c:catAx>
        <c:axId val="203964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7378239"/>
        <c:crosses val="autoZero"/>
        <c:auto val="1"/>
        <c:lblAlgn val="ctr"/>
        <c:lblOffset val="100"/>
        <c:noMultiLvlLbl val="0"/>
      </c:catAx>
      <c:valAx>
        <c:axId val="201737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964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u="none" strike="noStrike" baseline="0">
                <a:effectLst/>
              </a:rPr>
              <a:t>Рентабельность собственных активов (</a:t>
            </a:r>
            <a:r>
              <a:rPr lang="en" sz="1800" b="0" i="0" u="none" strike="noStrike" baseline="0">
                <a:effectLst/>
              </a:rPr>
              <a:t>ROA)</a:t>
            </a:r>
            <a:r>
              <a:rPr lang="en" sz="1800" b="0" i="0" u="none" strike="noStrike" baseline="0"/>
              <a:t> </a:t>
            </a:r>
            <a:endParaRPr lang="ru-RU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'Построение графиков'!$A$96</c:f>
              <c:strCache>
                <c:ptCount val="1"/>
                <c:pt idx="0">
                  <c:v>Норникель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'Построение графиков'!$B$95:$D$95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'Построение графиков'!$B$96:$D$96</c:f>
              <c:numCache>
                <c:formatCode>0.00</c:formatCode>
                <c:ptCount val="3"/>
                <c:pt idx="0">
                  <c:v>0.25</c:v>
                </c:pt>
                <c:pt idx="1">
                  <c:v>0.24342663273960985</c:v>
                </c:pt>
                <c:pt idx="2">
                  <c:v>7.7647058823529416E-2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78-B34C-9C94-3D5A2572BF33}"/>
            </c:ext>
          </c:extLst>
        </c:ser>
        <c:ser>
          <c:idx val="1"/>
          <c:order val="1"/>
          <c:tx>
            <c:strRef>
              <c:f>'Построение графиков'!$A$97</c:f>
              <c:strCache>
                <c:ptCount val="1"/>
                <c:pt idx="0">
                  <c:v>Vale</c:v>
                </c:pt>
              </c:strCache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'Построение графиков'!$B$95:$D$95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'Построение графиков'!$B$97:$D$97</c:f>
              <c:numCache>
                <c:formatCode>0.00</c:formatCode>
                <c:ptCount val="3"/>
                <c:pt idx="0">
                  <c:v>0.49722121404591235</c:v>
                </c:pt>
                <c:pt idx="1">
                  <c:v>0.46149768058316765</c:v>
                </c:pt>
                <c:pt idx="2">
                  <c:v>0.43657722355424522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78-B34C-9C94-3D5A2572BF33}"/>
            </c:ext>
          </c:extLst>
        </c:ser>
        <c:ser>
          <c:idx val="2"/>
          <c:order val="2"/>
          <c:tx>
            <c:strRef>
              <c:f>'Построение графиков'!$A$98</c:f>
              <c:strCache>
                <c:ptCount val="1"/>
                <c:pt idx="0">
                  <c:v>Anglo American</c:v>
                </c:pt>
              </c:strCache>
            </c:strRef>
          </c:tx>
          <c:spPr>
            <a:ln w="28575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'Построение графиков'!$B$95:$D$95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'Построение графиков'!$B$98:$D$98</c:f>
              <c:numCache>
                <c:formatCode>0.00</c:formatCode>
                <c:ptCount val="3"/>
                <c:pt idx="0">
                  <c:v>0.91935437431925016</c:v>
                </c:pt>
                <c:pt idx="1">
                  <c:v>0.70636421145430905</c:v>
                </c:pt>
                <c:pt idx="2">
                  <c:v>0.63403608920249876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78-B34C-9C94-3D5A2572BF33}"/>
            </c:ext>
          </c:extLst>
        </c:ser>
        <c:ser>
          <c:idx val="3"/>
          <c:order val="3"/>
          <c:tx>
            <c:strRef>
              <c:f>'Построение графиков'!$A$99</c:f>
              <c:strCache>
                <c:ptCount val="1"/>
                <c:pt idx="0">
                  <c:v>Impala</c:v>
                </c:pt>
              </c:strCache>
            </c:strRef>
          </c:tx>
          <c:spPr>
            <a:ln w="28575" cap="rnd">
              <a:solidFill>
                <a:schemeClr val="accent4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'Построение графиков'!$B$95:$D$95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'Построение графиков'!$B$99:$D$99</c:f>
              <c:numCache>
                <c:formatCode>0.00</c:formatCode>
                <c:ptCount val="3"/>
                <c:pt idx="0">
                  <c:v>0.23633776040827226</c:v>
                </c:pt>
                <c:pt idx="1">
                  <c:v>3.7424455362401389E-2</c:v>
                </c:pt>
                <c:pt idx="2">
                  <c:v>-0.11250845115381232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78-B34C-9C94-3D5A2572BF33}"/>
            </c:ext>
          </c:extLst>
        </c:ser>
        <c:ser>
          <c:idx val="4"/>
          <c:order val="4"/>
          <c:tx>
            <c:strRef>
              <c:f>'Построение графиков'!$A$100</c:f>
              <c:strCache>
                <c:ptCount val="1"/>
                <c:pt idx="0">
                  <c:v>мин, желаемое значение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'Построение графиков'!$B$95:$D$95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'Построение графиков'!$B$100:$D$100</c:f>
              <c:numCache>
                <c:formatCode>0.00</c:formatCode>
                <c:ptCount val="3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78-B34C-9C94-3D5A2572B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087920"/>
        <c:axId val="2008911599"/>
      </c:lineChart>
      <c:catAx>
        <c:axId val="30508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8911599"/>
        <c:crosses val="autoZero"/>
        <c:auto val="1"/>
        <c:lblAlgn val="ctr"/>
        <c:lblOffset val="100"/>
        <c:noMultiLvlLbl val="0"/>
      </c:catAx>
      <c:valAx>
        <c:axId val="200891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508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u="none" strike="noStrike" baseline="0">
                <a:effectLst/>
              </a:rPr>
              <a:t>Оборачиваемость активов </a:t>
            </a:r>
          </a:p>
          <a:p>
            <a:pPr>
              <a:defRPr sz="1800"/>
            </a:pPr>
            <a:r>
              <a:rPr lang="ru-RU" sz="1800" b="0" i="0" u="none" strike="noStrike" baseline="0">
                <a:effectLst/>
              </a:rPr>
              <a:t>(</a:t>
            </a:r>
            <a:r>
              <a:rPr lang="en" sz="1800" b="0" i="0" u="none" strike="noStrike" baseline="0">
                <a:effectLst/>
              </a:rPr>
              <a:t>asset turnover)</a:t>
            </a:r>
            <a:r>
              <a:rPr lang="en" sz="1800" b="0" i="0" u="none" strike="noStrike" baseline="0"/>
              <a:t> </a:t>
            </a:r>
            <a:endParaRPr lang="ru-RU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'Построение графиков'!$A$104</c:f>
              <c:strCache>
                <c:ptCount val="1"/>
                <c:pt idx="0">
                  <c:v>Норникель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'Построение графиков'!$B$103:$D$103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'Построение графиков'!$B$104:$D$104</c:f>
              <c:numCache>
                <c:formatCode>0.00</c:formatCode>
                <c:ptCount val="3"/>
                <c:pt idx="0">
                  <c:v>0.68559821247206987</c:v>
                </c:pt>
                <c:pt idx="1">
                  <c:v>0.58365569620253166</c:v>
                </c:pt>
                <c:pt idx="2">
                  <c:v>0.53625668449197861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9-0343-A7F0-99301311F805}"/>
            </c:ext>
          </c:extLst>
        </c:ser>
        <c:ser>
          <c:idx val="1"/>
          <c:order val="1"/>
          <c:tx>
            <c:strRef>
              <c:f>'Построение графиков'!$A$105</c:f>
              <c:strCache>
                <c:ptCount val="1"/>
                <c:pt idx="0">
                  <c:v>Vale</c:v>
                </c:pt>
              </c:strCache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'Построение графиков'!$B$103:$D$103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'Построение графиков'!$B$105:$D$105</c:f>
              <c:numCache>
                <c:formatCode>0.00</c:formatCode>
                <c:ptCount val="3"/>
                <c:pt idx="0">
                  <c:v>0.19065874240087105</c:v>
                </c:pt>
                <c:pt idx="1">
                  <c:v>8.9518444886238127E-2</c:v>
                </c:pt>
                <c:pt idx="2">
                  <c:v>7.0736156202319628E-2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B9-0343-A7F0-99301311F805}"/>
            </c:ext>
          </c:extLst>
        </c:ser>
        <c:ser>
          <c:idx val="2"/>
          <c:order val="2"/>
          <c:tx>
            <c:strRef>
              <c:f>'Построение графиков'!$A$106</c:f>
              <c:strCache>
                <c:ptCount val="1"/>
                <c:pt idx="0">
                  <c:v>Anglo American</c:v>
                </c:pt>
              </c:strCache>
            </c:strRef>
          </c:tx>
          <c:spPr>
            <a:ln w="28575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'Построение графиков'!$B$103:$D$103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'Построение графиков'!$B$106:$D$106</c:f>
              <c:numCache>
                <c:formatCode>0.00</c:formatCode>
                <c:ptCount val="3"/>
                <c:pt idx="0">
                  <c:v>0.27619290167860178</c:v>
                </c:pt>
                <c:pt idx="1">
                  <c:v>7.6236510496734217E-2</c:v>
                </c:pt>
                <c:pt idx="2">
                  <c:v>4.3009063534862627E-2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B9-0343-A7F0-99301311F805}"/>
            </c:ext>
          </c:extLst>
        </c:ser>
        <c:ser>
          <c:idx val="3"/>
          <c:order val="3"/>
          <c:tx>
            <c:strRef>
              <c:f>'Построение графиков'!$A$107</c:f>
              <c:strCache>
                <c:ptCount val="1"/>
                <c:pt idx="0">
                  <c:v>Impala</c:v>
                </c:pt>
              </c:strCache>
            </c:strRef>
          </c:tx>
          <c:spPr>
            <a:ln w="28575" cap="rnd">
              <a:solidFill>
                <a:schemeClr val="accent4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'Построение графиков'!$B$103:$D$103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'Построение графиков'!$B$107:$D$107</c:f>
              <c:numCache>
                <c:formatCode>0.00</c:formatCode>
                <c:ptCount val="3"/>
                <c:pt idx="0">
                  <c:v>0.84390958884189837</c:v>
                </c:pt>
                <c:pt idx="1">
                  <c:v>0.64571421089346293</c:v>
                </c:pt>
                <c:pt idx="2">
                  <c:v>0.56676025670731023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B9-0343-A7F0-99301311F805}"/>
            </c:ext>
          </c:extLst>
        </c:ser>
        <c:ser>
          <c:idx val="4"/>
          <c:order val="4"/>
          <c:tx>
            <c:strRef>
              <c:f>'Построение графиков'!$A$108</c:f>
              <c:strCache>
                <c:ptCount val="1"/>
                <c:pt idx="0">
                  <c:v>мин, желаемое значение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'Построение графиков'!$B$103:$D$103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'Построение графиков'!$B$108:$D$108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B9-0343-A7F0-99301311F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521728"/>
        <c:axId val="2088678191"/>
      </c:lineChart>
      <c:catAx>
        <c:axId val="12052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8678191"/>
        <c:crosses val="autoZero"/>
        <c:auto val="1"/>
        <c:lblAlgn val="ctr"/>
        <c:lblOffset val="100"/>
        <c:noMultiLvlLbl val="0"/>
      </c:catAx>
      <c:valAx>
        <c:axId val="208867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52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Расходы в связи с логистикой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870516185476812E-2"/>
          <c:y val="0.1660648148148148"/>
          <c:w val="0.87957392825896763"/>
          <c:h val="0.576083770778652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'Горизонтальный анализ'!$B$13</c:f>
              <c:strCache>
                <c:ptCount val="1"/>
                <c:pt idx="0">
                  <c:v>Коммерческие расходы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'Горизонтальный анализ'!$C$3:$F$3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'Горизонтальный анализ'!$C$13:$F$13</c:f>
              <c:numCache>
                <c:formatCode>0</c:formatCode>
                <c:ptCount val="4"/>
                <c:pt idx="0">
                  <c:v>184</c:v>
                </c:pt>
                <c:pt idx="1">
                  <c:v>261</c:v>
                </c:pt>
                <c:pt idx="2">
                  <c:v>296</c:v>
                </c:pt>
                <c:pt idx="3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6-4E6C-9296-8CA73126AB15}"/>
            </c:ext>
          </c:extLst>
        </c:ser>
        <c:ser>
          <c:idx val="1"/>
          <c:order val="1"/>
          <c:tx>
            <c:strRef>
              <c:f>'Горизонтальный анализ'!$B$14</c:f>
              <c:strCache>
                <c:ptCount val="1"/>
                <c:pt idx="0">
                  <c:v>Убыток от обесценения нефинансовых активов, нетто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'Горизонтальный анализ'!$C$3:$F$3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'Горизонтальный анализ'!$C$14:$F$14</c:f>
              <c:numCache>
                <c:formatCode>0</c:formatCode>
                <c:ptCount val="4"/>
                <c:pt idx="0">
                  <c:v>48</c:v>
                </c:pt>
                <c:pt idx="1">
                  <c:v>90</c:v>
                </c:pt>
                <c:pt idx="2">
                  <c:v>179</c:v>
                </c:pt>
                <c:pt idx="3">
                  <c:v>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A6-4E6C-9296-8CA73126A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054688"/>
        <c:axId val="1045535264"/>
      </c:barChart>
      <c:catAx>
        <c:axId val="1365054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5535264"/>
        <c:crosses val="autoZero"/>
        <c:auto val="1"/>
        <c:lblAlgn val="ctr"/>
        <c:lblOffset val="100"/>
        <c:noMultiLvlLbl val="0"/>
      </c:catAx>
      <c:valAx>
        <c:axId val="104553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505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Структура краткосрочных обязательств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'Вертикальный анализ'!$B$68</c:f>
              <c:strCache>
                <c:ptCount val="1"/>
                <c:pt idx="0">
                  <c:v>Кредиты и займы</c:v>
                </c:pt>
              </c:strCache>
            </c:strRef>
          </c:tx>
          <c:spPr>
            <a:solidFill>
              <a:srgbClr val="52B86E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8201514-F90D-4712-9F7C-C810E9415AE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E62-4CCE-86E2-0FE7B3FC66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404014F-822F-4DCC-9B8B-C42B24833CE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E62-4CCE-86E2-0FE7B3FC66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070FADA-A645-4503-9945-5C5C0F3183A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E62-4CCE-86E2-0FE7B3FC66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159A897-58C4-4E22-9F19-EF9DB67305A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E62-4CCE-86E2-0FE7B3FC66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'Вертикальный анализ'!$D$3:$G$3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'Вертикальный анализ'!$D$68:$G$68</c:f>
              <c:numCache>
                <c:formatCode>0</c:formatCode>
                <c:ptCount val="4"/>
                <c:pt idx="0">
                  <c:v>1610</c:v>
                </c:pt>
                <c:pt idx="1">
                  <c:v>4295</c:v>
                </c:pt>
                <c:pt idx="2">
                  <c:v>4335</c:v>
                </c:pt>
                <c:pt idx="3">
                  <c:v>2834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'Вертикальный анализ'!$L$68:$O$68</c15:f>
                <c15:dlblRangeCache>
                  <c:ptCount val="4"/>
                  <c:pt idx="0">
                    <c:v>19,9%</c:v>
                  </c:pt>
                  <c:pt idx="1">
                    <c:v>55,9%</c:v>
                  </c:pt>
                  <c:pt idx="2">
                    <c:v>49,1%</c:v>
                  </c:pt>
                  <c:pt idx="3">
                    <c:v>47,9%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4E62-4CCE-86E2-0FE7B3FC66DB}"/>
            </c:ext>
          </c:extLst>
        </c:ser>
        <c:ser>
          <c:idx val="1"/>
          <c:order val="1"/>
          <c:tx>
            <c:strRef>
              <c:f>'Вертикальный анализ'!$B$70</c:f>
              <c:strCache>
                <c:ptCount val="1"/>
                <c:pt idx="0">
                  <c:v>Торговая и прочая кредиторская задолженность</c:v>
                </c:pt>
              </c:strCache>
            </c:strRef>
          </c:tx>
          <c:spPr>
            <a:solidFill>
              <a:srgbClr val="FBBC77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C61FAE9-5459-484D-A8F4-37238831EFC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E62-4CCE-86E2-0FE7B3FC66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EB6F39B-923D-4E5C-A368-BEFDB9248FC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E62-4CCE-86E2-0FE7B3FC66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01D4EED-8FEE-40F6-B493-DAB73BAD981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E62-4CCE-86E2-0FE7B3FC66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35CD747-BAB1-4AD6-9F1A-21F7E76784D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E62-4CCE-86E2-0FE7B3FC66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'Вертикальный анализ'!$D$3:$G$3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'Вертикальный анализ'!$D$70:$G$70</c:f>
              <c:numCache>
                <c:formatCode>0</c:formatCode>
                <c:ptCount val="4"/>
                <c:pt idx="0">
                  <c:v>2224</c:v>
                </c:pt>
                <c:pt idx="1">
                  <c:v>1381</c:v>
                </c:pt>
                <c:pt idx="2">
                  <c:v>1273</c:v>
                </c:pt>
                <c:pt idx="3">
                  <c:v>1209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'Вертикальный анализ'!$L$70:$O$70</c15:f>
                <c15:dlblRangeCache>
                  <c:ptCount val="4"/>
                  <c:pt idx="0">
                    <c:v>27,5%</c:v>
                  </c:pt>
                  <c:pt idx="1">
                    <c:v>18,0%</c:v>
                  </c:pt>
                  <c:pt idx="2">
                    <c:v>14,4%</c:v>
                  </c:pt>
                  <c:pt idx="3">
                    <c:v>20,4%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4E62-4CCE-86E2-0FE7B3FC66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62006703"/>
        <c:axId val="255500096"/>
      </c:barChart>
      <c:catAx>
        <c:axId val="116200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5500096"/>
        <c:crosses val="autoZero"/>
        <c:auto val="1"/>
        <c:lblAlgn val="ctr"/>
        <c:lblOffset val="100"/>
        <c:noMultiLvlLbl val="0"/>
      </c:catAx>
      <c:valAx>
        <c:axId val="25550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200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3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2.xml"/><Relationship Id="rId5" Type="http://schemas.openxmlformats.org/officeDocument/2006/relationships/chart" Target="../charts/chart7.xml"/><Relationship Id="rId10" Type="http://schemas.openxmlformats.org/officeDocument/2006/relationships/image" Target="../media/image10.png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180972</xdr:colOff>
      <xdr:row>1</xdr:row>
      <xdr:rowOff>47626</xdr:rowOff>
    </xdr:from>
    <xdr:to>
      <xdr:col>15</xdr:col>
      <xdr:colOff>342899</xdr:colOff>
      <xdr:row>3</xdr:row>
      <xdr:rowOff>38101</xdr:rowOff>
    </xdr:to>
    <xdr:sp macro="" textlink="">
      <xdr:nvSpPr>
        <xdr:cNvPr id="10" name="Совет по вводу данных" descr="Выберите год финансового отчета для отображения." title="Совет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2058647" y="152401"/>
          <a:ext cx="1609727" cy="781050"/>
        </a:xfrm>
        <a:prstGeom prst="wedgeRectCallout">
          <a:avLst>
            <a:gd name="adj1" fmla="val -77578"/>
            <a:gd name="adj2" fmla="val -22074"/>
          </a:avLst>
        </a:prstGeom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37160" rtlCol="0" anchor="ctr"/>
        <a:lstStyle/>
        <a:p>
          <a:pPr algn="l"/>
          <a:r>
            <a:rPr lang="ru-RU" sz="1050"/>
            <a:t>Выберите год финансового отчета для отображения.</a:t>
          </a:r>
          <a:endParaRPr lang="en-US" sz="1050" baseline="0"/>
        </a:p>
      </xdr:txBody>
    </xdr:sp>
    <xdr:clientData fPrintsWithSheet="0"/>
  </xdr:twoCellAnchor>
  <xdr:twoCellAnchor>
    <xdr:from>
      <xdr:col>12</xdr:col>
      <xdr:colOff>419097</xdr:colOff>
      <xdr:row>5</xdr:row>
      <xdr:rowOff>180975</xdr:rowOff>
    </xdr:from>
    <xdr:to>
      <xdr:col>15</xdr:col>
      <xdr:colOff>219074</xdr:colOff>
      <xdr:row>8</xdr:row>
      <xdr:rowOff>228600</xdr:rowOff>
    </xdr:to>
    <xdr:sp macro="" textlink="">
      <xdr:nvSpPr>
        <xdr:cNvPr id="3" name="Совет по вводу данных" descr="Выберите метрики для отчета на листе &quot;Параметры ключевых метрик&quot;." title="Совет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010897" y="1466850"/>
          <a:ext cx="1657352" cy="1104900"/>
        </a:xfrm>
        <a:prstGeom prst="wedgeRectCallout">
          <a:avLst>
            <a:gd name="adj1" fmla="val -68256"/>
            <a:gd name="adj2" fmla="val -24513"/>
          </a:avLst>
        </a:prstGeom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37160" rtlCol="0" anchor="ctr"/>
        <a:lstStyle/>
        <a:p>
          <a:pPr algn="l"/>
          <a:r>
            <a:rPr lang="ru-RU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Выберите метрики для вашего отчета на листе "Параметры ключевых метрик".</a:t>
          </a:r>
          <a:endParaRPr lang="en-US" sz="1050" baseline="0"/>
        </a:p>
      </xdr:txBody>
    </xdr:sp>
    <xdr:clientData fPrintsWithSheet="0"/>
  </xdr:twoCellAnchor>
  <xdr:twoCellAnchor editAs="oneCell">
    <xdr:from>
      <xdr:col>5</xdr:col>
      <xdr:colOff>593725</xdr:colOff>
      <xdr:row>1</xdr:row>
      <xdr:rowOff>84881</xdr:rowOff>
    </xdr:from>
    <xdr:to>
      <xdr:col>5</xdr:col>
      <xdr:colOff>1190625</xdr:colOff>
      <xdr:row>1</xdr:row>
      <xdr:rowOff>427632</xdr:rowOff>
    </xdr:to>
    <xdr:pic>
      <xdr:nvPicPr>
        <xdr:cNvPr id="4" name="Рисунок 1">
          <a:extLst>
            <a:ext uri="{FF2B5EF4-FFF2-40B4-BE49-F238E27FC236}">
              <a16:creationId xmlns:a16="http://schemas.microsoft.com/office/drawing/2014/main" id="{2D868F6E-EE8D-31CF-FA77-F016BC4ADEA2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9050" y="189656"/>
          <a:ext cx="596900" cy="3427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114300</xdr:colOff>
      <xdr:row>1</xdr:row>
      <xdr:rowOff>66675</xdr:rowOff>
    </xdr:from>
    <xdr:to>
      <xdr:col>25</xdr:col>
      <xdr:colOff>161925</xdr:colOff>
      <xdr:row>15</xdr:row>
      <xdr:rowOff>142875</xdr:rowOff>
    </xdr:to>
    <xdr:graphicFrame macro="">
      <xdr:nvGraphicFramePr>
        <xdr:cNvPr id="57" name="Диаграмма 8">
          <a:extLst>
            <a:ext uri="{FF2B5EF4-FFF2-40B4-BE49-F238E27FC236}">
              <a16:creationId xmlns:a16="http://schemas.microsoft.com/office/drawing/2014/main" id="{AF24EA00-A8D8-43C1-E8B4-8F0A4C3D3250}"/>
            </a:ext>
            <a:ext uri="{147F2762-F138-4A5C-976F-8EAC2B608ADB}">
              <a16:predDERef xmlns:a16="http://schemas.microsoft.com/office/drawing/2014/main" pred="{A9C45EC5-3299-4B62-974B-AEC77FBBE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656839</xdr:colOff>
      <xdr:row>23</xdr:row>
      <xdr:rowOff>134589</xdr:rowOff>
    </xdr:from>
    <xdr:to>
      <xdr:col>24</xdr:col>
      <xdr:colOff>502270</xdr:colOff>
      <xdr:row>37</xdr:row>
      <xdr:rowOff>151935</xdr:rowOff>
    </xdr:to>
    <xdr:graphicFrame macro="">
      <xdr:nvGraphicFramePr>
        <xdr:cNvPr id="89" name="Диаграмма 2">
          <a:extLst>
            <a:ext uri="{FF2B5EF4-FFF2-40B4-BE49-F238E27FC236}">
              <a16:creationId xmlns:a16="http://schemas.microsoft.com/office/drawing/2014/main" id="{1A387483-4605-DBFE-A4EB-9C18D45BA06C}"/>
            </a:ext>
            <a:ext uri="{147F2762-F138-4A5C-976F-8EAC2B608ADB}">
              <a16:predDERef xmlns:a16="http://schemas.microsoft.com/office/drawing/2014/main" pred="{9D841E7D-2AC2-43C7-B948-F38659FCB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504822</xdr:colOff>
      <xdr:row>1</xdr:row>
      <xdr:rowOff>476249</xdr:rowOff>
    </xdr:from>
    <xdr:to>
      <xdr:col>7</xdr:col>
      <xdr:colOff>28575</xdr:colOff>
      <xdr:row>4</xdr:row>
      <xdr:rowOff>219075</xdr:rowOff>
    </xdr:to>
    <xdr:sp macro="" textlink="">
      <xdr:nvSpPr>
        <xdr:cNvPr id="2" name="Совет по вводу данных" descr="Выберите ключевые метрики для финансового отчета." title="Совет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981322" y="581024"/>
          <a:ext cx="1962153" cy="723901"/>
        </a:xfrm>
        <a:prstGeom prst="wedgeRectCallout">
          <a:avLst>
            <a:gd name="adj1" fmla="val -68256"/>
            <a:gd name="adj2" fmla="val -24513"/>
          </a:avLst>
        </a:prstGeom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37160" rtlCol="0" anchor="ctr"/>
        <a:lstStyle/>
        <a:p>
          <a:pPr algn="l"/>
          <a:r>
            <a:rPr lang="ru-RU" sz="1050" baseline="0"/>
            <a:t>Выберите ключевые метрики для финансового отчета.</a:t>
          </a:r>
          <a:endParaRPr lang="en-US" sz="1050"/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1638300</xdr:colOff>
      <xdr:row>1</xdr:row>
      <xdr:rowOff>57150</xdr:rowOff>
    </xdr:from>
    <xdr:to>
      <xdr:col>0</xdr:col>
      <xdr:colOff>1638300</xdr:colOff>
      <xdr:row>1</xdr:row>
      <xdr:rowOff>57150</xdr:rowOff>
    </xdr:to>
    <xdr:graphicFrame macro="">
      <xdr:nvGraphicFramePr>
        <xdr:cNvPr id="21" name="Диаграмма 1">
          <a:extLst>
            <a:ext uri="{FF2B5EF4-FFF2-40B4-BE49-F238E27FC236}">
              <a16:creationId xmlns:a16="http://schemas.microsoft.com/office/drawing/2014/main" id="{C606FC5F-F339-96D7-F618-A9F213878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62</xdr:row>
      <xdr:rowOff>0</xdr:rowOff>
    </xdr:from>
    <xdr:to>
      <xdr:col>11</xdr:col>
      <xdr:colOff>495300</xdr:colOff>
      <xdr:row>76</xdr:row>
      <xdr:rowOff>9525</xdr:rowOff>
    </xdr:to>
    <xdr:graphicFrame macro="">
      <xdr:nvGraphicFramePr>
        <xdr:cNvPr id="33" name="Диаграмма 14">
          <a:extLst>
            <a:ext uri="{FF2B5EF4-FFF2-40B4-BE49-F238E27FC236}">
              <a16:creationId xmlns:a16="http://schemas.microsoft.com/office/drawing/2014/main" id="{9DAF112E-D40A-CE51-247A-C4925206010A}"/>
            </a:ext>
            <a:ext uri="{147F2762-F138-4A5C-976F-8EAC2B608ADB}">
              <a16:predDERef xmlns:a16="http://schemas.microsoft.com/office/drawing/2014/main" pred="{C606FC5F-F339-96D7-F618-A9F213878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523875</xdr:colOff>
      <xdr:row>62</xdr:row>
      <xdr:rowOff>28575</xdr:rowOff>
    </xdr:from>
    <xdr:to>
      <xdr:col>17</xdr:col>
      <xdr:colOff>142875</xdr:colOff>
      <xdr:row>75</xdr:row>
      <xdr:rowOff>161925</xdr:rowOff>
    </xdr:to>
    <xdr:graphicFrame macro="">
      <xdr:nvGraphicFramePr>
        <xdr:cNvPr id="34" name="Диаграмма 7">
          <a:extLst>
            <a:ext uri="{FF2B5EF4-FFF2-40B4-BE49-F238E27FC236}">
              <a16:creationId xmlns:a16="http://schemas.microsoft.com/office/drawing/2014/main" id="{6611C5ED-B139-2B91-5464-1A60C5EE0FAA}"/>
            </a:ext>
            <a:ext uri="{147F2762-F138-4A5C-976F-8EAC2B608ADB}">
              <a16:predDERef xmlns:a16="http://schemas.microsoft.com/office/drawing/2014/main" pred="{9DAF112E-D40A-CE51-247A-C49252060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6350</xdr:colOff>
      <xdr:row>76</xdr:row>
      <xdr:rowOff>19050</xdr:rowOff>
    </xdr:from>
    <xdr:to>
      <xdr:col>11</xdr:col>
      <xdr:colOff>450850</xdr:colOff>
      <xdr:row>90</xdr:row>
      <xdr:rowOff>31750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FAFF7F5A-0CF3-533E-8A21-E246EC36EF84}"/>
            </a:ext>
            <a:ext uri="{147F2762-F138-4A5C-976F-8EAC2B608ADB}">
              <a16:predDERef xmlns:a16="http://schemas.microsoft.com/office/drawing/2014/main" pred="{6611C5ED-B139-2B91-5464-1A60C5EE0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752475</xdr:colOff>
      <xdr:row>16</xdr:row>
      <xdr:rowOff>95250</xdr:rowOff>
    </xdr:from>
    <xdr:to>
      <xdr:col>15</xdr:col>
      <xdr:colOff>752475</xdr:colOff>
      <xdr:row>30</xdr:row>
      <xdr:rowOff>152400</xdr:rowOff>
    </xdr:to>
    <xdr:graphicFrame macro="">
      <xdr:nvGraphicFramePr>
        <xdr:cNvPr id="22" name="Диаграмма 11">
          <a:extLst>
            <a:ext uri="{FF2B5EF4-FFF2-40B4-BE49-F238E27FC236}">
              <a16:creationId xmlns:a16="http://schemas.microsoft.com/office/drawing/2014/main" id="{26A6174B-308A-174A-F1AC-ABB24BC8CEE0}"/>
            </a:ext>
            <a:ext uri="{147F2762-F138-4A5C-976F-8EAC2B608ADB}">
              <a16:predDERef xmlns:a16="http://schemas.microsoft.com/office/drawing/2014/main" pred="{FAFF7F5A-0CF3-533E-8A21-E246EC36E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457200</xdr:colOff>
      <xdr:row>76</xdr:row>
      <xdr:rowOff>19050</xdr:rowOff>
    </xdr:from>
    <xdr:to>
      <xdr:col>17</xdr:col>
      <xdr:colOff>76200</xdr:colOff>
      <xdr:row>89</xdr:row>
      <xdr:rowOff>171450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59AC8466-7C0F-139A-91DB-514B5836BAF0}"/>
            </a:ext>
            <a:ext uri="{147F2762-F138-4A5C-976F-8EAC2B608ADB}">
              <a16:predDERef xmlns:a16="http://schemas.microsoft.com/office/drawing/2014/main" pred="{26A6174B-308A-174A-F1AC-ABB24BC8C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727075</xdr:colOff>
      <xdr:row>0</xdr:row>
      <xdr:rowOff>133350</xdr:rowOff>
    </xdr:from>
    <xdr:to>
      <xdr:col>15</xdr:col>
      <xdr:colOff>701675</xdr:colOff>
      <xdr:row>14</xdr:row>
      <xdr:rowOff>161925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44A42AAA-A52F-D9A9-68A7-DE94A6FDE3CB}"/>
            </a:ext>
            <a:ext uri="{147F2762-F138-4A5C-976F-8EAC2B608ADB}">
              <a16:predDERef xmlns:a16="http://schemas.microsoft.com/office/drawing/2014/main" pred="{59AC8466-7C0F-139A-91DB-514B5836B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12700</xdr:colOff>
      <xdr:row>90</xdr:row>
      <xdr:rowOff>31750</xdr:rowOff>
    </xdr:from>
    <xdr:to>
      <xdr:col>11</xdr:col>
      <xdr:colOff>457200</xdr:colOff>
      <xdr:row>104</xdr:row>
      <xdr:rowOff>6350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B1BEA78F-DC4F-3EB3-7640-4F49DAFF82B9}"/>
            </a:ext>
            <a:ext uri="{147F2762-F138-4A5C-976F-8EAC2B608ADB}">
              <a16:predDERef xmlns:a16="http://schemas.microsoft.com/office/drawing/2014/main" pred="{44A42AAA-A52F-D9A9-68A7-DE94A6FDE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457200</xdr:colOff>
      <xdr:row>90</xdr:row>
      <xdr:rowOff>31750</xdr:rowOff>
    </xdr:from>
    <xdr:to>
      <xdr:col>17</xdr:col>
      <xdr:colOff>76200</xdr:colOff>
      <xdr:row>103</xdr:row>
      <xdr:rowOff>184150</xdr:rowOff>
    </xdr:to>
    <xdr:graphicFrame macro="">
      <xdr:nvGraphicFramePr>
        <xdr:cNvPr id="30" name="Диаграмма 29">
          <a:extLst>
            <a:ext uri="{FF2B5EF4-FFF2-40B4-BE49-F238E27FC236}">
              <a16:creationId xmlns:a16="http://schemas.microsoft.com/office/drawing/2014/main" id="{51181114-02D9-4148-AFF8-24B19C860AA9}"/>
            </a:ext>
            <a:ext uri="{147F2762-F138-4A5C-976F-8EAC2B608ADB}">
              <a16:predDERef xmlns:a16="http://schemas.microsoft.com/office/drawing/2014/main" pred="{B1BEA78F-DC4F-3EB3-7640-4F49DAFF8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406400</xdr:colOff>
      <xdr:row>105</xdr:row>
      <xdr:rowOff>127000</xdr:rowOff>
    </xdr:from>
    <xdr:to>
      <xdr:col>11</xdr:col>
      <xdr:colOff>177800</xdr:colOff>
      <xdr:row>110</xdr:row>
      <xdr:rowOff>168462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7E1609B2-303D-5CDF-797D-0097B806F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91300" y="17792700"/>
          <a:ext cx="3898900" cy="1032062"/>
        </a:xfrm>
        <a:prstGeom prst="rect">
          <a:avLst/>
        </a:prstGeom>
      </xdr:spPr>
    </xdr:pic>
    <xdr:clientData/>
  </xdr:twoCellAnchor>
  <xdr:twoCellAnchor>
    <xdr:from>
      <xdr:col>18</xdr:col>
      <xdr:colOff>47625</xdr:colOff>
      <xdr:row>61</xdr:row>
      <xdr:rowOff>142875</xdr:rowOff>
    </xdr:from>
    <xdr:to>
      <xdr:col>23</xdr:col>
      <xdr:colOff>504825</xdr:colOff>
      <xdr:row>77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69BB614-DC93-438E-999D-ECFFB6665CD1}"/>
            </a:ext>
            <a:ext uri="{147F2762-F138-4A5C-976F-8EAC2B608ADB}">
              <a16:predDERef xmlns:a16="http://schemas.microsoft.com/office/drawing/2014/main" pred="{7E1609B2-303D-5CDF-797D-0097B806F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38100</xdr:colOff>
      <xdr:row>78</xdr:row>
      <xdr:rowOff>104775</xdr:rowOff>
    </xdr:from>
    <xdr:to>
      <xdr:col>24</xdr:col>
      <xdr:colOff>28575</xdr:colOff>
      <xdr:row>93</xdr:row>
      <xdr:rowOff>66675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53139DD-4FD8-4E6B-BB9B-978CA7F7ADF0}"/>
            </a:ext>
            <a:ext uri="{147F2762-F138-4A5C-976F-8EAC2B608ADB}">
              <a16:predDERef xmlns:a16="http://schemas.microsoft.com/office/drawing/2014/main" pred="{369BB614-DC93-438E-999D-ECFFB6665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Theme">
  <a:themeElements>
    <a:clrScheme name="Annual Financial Report">
      <a:dk1>
        <a:sysClr val="windowText" lastClr="000000"/>
      </a:dk1>
      <a:lt1>
        <a:sysClr val="window" lastClr="FFFFFF"/>
      </a:lt1>
      <a:dk2>
        <a:srgbClr val="000000"/>
      </a:dk2>
      <a:lt2>
        <a:srgbClr val="E9EAEA"/>
      </a:lt2>
      <a:accent1>
        <a:srgbClr val="52B86E"/>
      </a:accent1>
      <a:accent2>
        <a:srgbClr val="F7901E"/>
      </a:accent2>
      <a:accent3>
        <a:srgbClr val="308DBB"/>
      </a:accent3>
      <a:accent4>
        <a:srgbClr val="EEB330"/>
      </a:accent4>
      <a:accent5>
        <a:srgbClr val="915B97"/>
      </a:accent5>
      <a:accent6>
        <a:srgbClr val="E35856"/>
      </a:accent6>
      <a:hlink>
        <a:srgbClr val="308DBB"/>
      </a:hlink>
      <a:folHlink>
        <a:srgbClr val="915B97"/>
      </a:folHlink>
    </a:clrScheme>
    <a:fontScheme name="Annual Financial Report">
      <a:majorFont>
        <a:latin typeface="Euphemia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9050">
          <a:solidFill>
            <a:schemeClr val="tx1">
              <a:lumMod val="65000"/>
              <a:lumOff val="35000"/>
            </a:schemeClr>
          </a:solidFill>
        </a:ln>
      </a:spPr>
      <a:bodyPr vertOverflow="clip" horzOverflow="clip" rtlCol="0" anchor="ctr"/>
      <a:lstStyle>
        <a:defPPr algn="l">
          <a:defRPr sz="105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B1:O34"/>
  <sheetViews>
    <sheetView showGridLines="0" zoomScaleNormal="100" workbookViewId="0">
      <selection activeCell="B2" sqref="B2"/>
    </sheetView>
  </sheetViews>
  <sheetFormatPr defaultColWidth="8.85546875" defaultRowHeight="18.75" customHeight="1"/>
  <cols>
    <col min="1" max="1" width="2" customWidth="1"/>
    <col min="2" max="2" width="39.140625" customWidth="1"/>
    <col min="3" max="3" width="2.7109375" customWidth="1"/>
    <col min="4" max="4" width="27.7109375" customWidth="1"/>
    <col min="5" max="5" width="2.7109375" customWidth="1"/>
    <col min="6" max="6" width="27.42578125" customWidth="1"/>
    <col min="7" max="7" width="2.7109375" customWidth="1"/>
    <col min="8" max="8" width="27.42578125" customWidth="1"/>
    <col min="9" max="9" width="2.7109375" customWidth="1"/>
    <col min="10" max="10" width="7.7109375" customWidth="1"/>
    <col min="11" max="11" width="1.42578125" customWidth="1"/>
    <col min="12" max="12" width="21.42578125" customWidth="1"/>
    <col min="13" max="13" width="8.42578125" customWidth="1"/>
    <col min="15" max="16" width="10.140625" customWidth="1"/>
    <col min="17" max="19" width="11.42578125"/>
  </cols>
  <sheetData>
    <row r="1" spans="2:15" ht="8.25" customHeight="1" thickBot="1"/>
    <row r="2" spans="2:15" ht="38.25" customHeight="1" thickBot="1">
      <c r="B2" s="43" t="s">
        <v>0</v>
      </c>
      <c r="J2" s="3"/>
      <c r="K2" s="491">
        <v>2024</v>
      </c>
      <c r="L2" s="491"/>
    </row>
    <row r="3" spans="2:15" ht="24" customHeight="1">
      <c r="B3" s="37" t="s">
        <v>1</v>
      </c>
    </row>
    <row r="4" spans="2:15" ht="6.75" customHeight="1" thickBot="1"/>
    <row r="5" spans="2:15" ht="24" customHeight="1" thickBot="1">
      <c r="B5" s="11" t="s">
        <v>2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2:15" s="15" customFormat="1" ht="18.75" customHeight="1" thickBo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2:15" ht="22.5" customHeight="1">
      <c r="B7" s="38" t="str">
        <f>Расчеты!B8</f>
        <v>Итого выручка</v>
      </c>
      <c r="C7" s="13"/>
      <c r="D7" s="38" t="str">
        <f>Расчеты!B9</f>
        <v>Валовая прибыль</v>
      </c>
      <c r="E7" s="13"/>
      <c r="F7" s="38" t="str">
        <f>Расчеты!B10</f>
        <v>Прибыль от операционной деятельности</v>
      </c>
      <c r="G7" s="13"/>
      <c r="H7" s="38" t="str">
        <f>Расчеты!B11</f>
        <v>Прибыль до налогообложения</v>
      </c>
      <c r="I7" s="13"/>
      <c r="J7" s="501" t="str">
        <f>Расчеты!B12</f>
        <v>Прибыль за год</v>
      </c>
      <c r="K7" s="502"/>
      <c r="L7" s="503"/>
      <c r="M7" s="13"/>
    </row>
    <row r="8" spans="2:15" ht="42" customHeight="1">
      <c r="B8" s="42" t="str">
        <f ca="1">IFERROR(Расчеты!G8,"")</f>
        <v/>
      </c>
      <c r="C8" s="36"/>
      <c r="D8" s="42" t="str">
        <f ca="1">IFERROR(Расчеты!G9,"")</f>
        <v/>
      </c>
      <c r="F8" s="42" t="str">
        <f ca="1">IFERROR(Расчеты!G10,"")</f>
        <v/>
      </c>
      <c r="H8" s="42" t="str">
        <f ca="1">IFERROR(Расчеты!G11,"")</f>
        <v/>
      </c>
      <c r="I8" s="15"/>
      <c r="J8" s="495" t="str">
        <f ca="1">IFERROR(Расчеты!G12,"")</f>
        <v/>
      </c>
      <c r="K8" s="496"/>
      <c r="L8" s="497"/>
    </row>
    <row r="9" spans="2:15" s="6" customFormat="1" ht="18.75" customHeight="1">
      <c r="B9" s="40" t="str">
        <f ca="1">Расчеты!H8</f>
        <v/>
      </c>
      <c r="C9" s="14"/>
      <c r="D9" s="40" t="str">
        <f ca="1">Расчеты!H9</f>
        <v/>
      </c>
      <c r="E9" s="7"/>
      <c r="F9" s="40" t="str">
        <f ca="1">Расчеты!H10</f>
        <v/>
      </c>
      <c r="G9" s="7"/>
      <c r="H9" s="40" t="str">
        <f ca="1">Расчеты!H11</f>
        <v/>
      </c>
      <c r="I9" s="16"/>
      <c r="J9" s="492" t="str">
        <f ca="1">Расчеты!H12</f>
        <v/>
      </c>
      <c r="K9" s="493"/>
      <c r="L9" s="494"/>
      <c r="M9" s="8"/>
      <c r="O9"/>
    </row>
    <row r="10" spans="2:15" ht="18.75" customHeight="1">
      <c r="B10" s="33"/>
      <c r="C10" s="9"/>
      <c r="D10" s="33"/>
      <c r="E10" s="9"/>
      <c r="F10" s="33"/>
      <c r="G10" s="9"/>
      <c r="H10" s="35"/>
      <c r="I10" s="488"/>
      <c r="J10" s="498"/>
      <c r="K10" s="499"/>
      <c r="L10" s="500"/>
      <c r="M10" s="9"/>
    </row>
    <row r="11" spans="2:15" ht="18.75" customHeight="1" thickBot="1">
      <c r="B11" s="34"/>
      <c r="D11" s="34"/>
      <c r="F11" s="34"/>
      <c r="H11" s="34"/>
      <c r="J11" s="18"/>
      <c r="K11" s="17"/>
      <c r="L11" s="19"/>
    </row>
    <row r="12" spans="2:15" ht="18.75" customHeight="1" thickBot="1"/>
    <row r="13" spans="2:15" ht="24" customHeight="1" thickBot="1">
      <c r="B13" s="12" t="s">
        <v>3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5" spans="2:15" ht="18.75" customHeight="1">
      <c r="B15" s="23" t="s">
        <v>4</v>
      </c>
      <c r="C15" s="485"/>
      <c r="D15" s="39" t="str">
        <f>"ТЕКУЩИЙ ГОД ("&amp;Выбранный_год&amp;")"</f>
        <v>ТЕКУЩИЙ ГОД (2024)</v>
      </c>
      <c r="E15" s="485"/>
      <c r="F15" s="39" t="str">
        <f>"ПРОШЕДШИЙ ГОД ("&amp;Выбранный_год-1&amp;")"</f>
        <v>ПРОШЕДШИЙ ГОД (2023)</v>
      </c>
      <c r="G15" s="485"/>
      <c r="H15" s="20" t="s">
        <v>5</v>
      </c>
      <c r="I15" s="504" t="s">
        <v>6</v>
      </c>
      <c r="J15" s="504"/>
      <c r="K15" s="504"/>
      <c r="L15" s="504"/>
    </row>
    <row r="16" spans="2:15" ht="18.75" customHeight="1">
      <c r="B16" s="51" t="s">
        <v>7</v>
      </c>
      <c r="C16" s="486"/>
      <c r="D16" s="55"/>
      <c r="E16" s="55"/>
      <c r="F16" s="55"/>
      <c r="G16" s="486"/>
      <c r="H16" s="21" t="str">
        <f t="shared" ref="H16:H34" si="0">IFERROR(D16/F16-1,"")</f>
        <v/>
      </c>
      <c r="I16" s="505"/>
      <c r="J16" s="505"/>
      <c r="K16" s="505"/>
      <c r="L16" s="505"/>
    </row>
    <row r="17" spans="2:12" ht="18.75" customHeight="1">
      <c r="B17" s="50" t="str">
        <f>Расчеты!B16</f>
        <v>Выручка от реализации металлов</v>
      </c>
      <c r="C17" s="484"/>
      <c r="D17" s="41" t="e">
        <f ca="1">IF($B17="","",Расчеты!G16)</f>
        <v>#N/A</v>
      </c>
      <c r="E17" s="41"/>
      <c r="F17" s="41" t="e">
        <f ca="1">IF($B17="","",Расчеты!F16)</f>
        <v>#N/A</v>
      </c>
      <c r="G17" s="484"/>
      <c r="H17" s="22" t="str">
        <f t="shared" ca="1" si="0"/>
        <v/>
      </c>
      <c r="I17" s="490"/>
      <c r="J17" s="490"/>
      <c r="K17" s="490"/>
      <c r="L17" s="490"/>
    </row>
    <row r="18" spans="2:12" ht="18.75" customHeight="1">
      <c r="B18" s="50" t="str">
        <f>Расчеты!B17</f>
        <v>Выручка от прочей реализации</v>
      </c>
      <c r="C18" s="484"/>
      <c r="D18" s="41" t="e">
        <f ca="1">IF($B18="","",Расчеты!G17)</f>
        <v>#N/A</v>
      </c>
      <c r="E18" s="41"/>
      <c r="F18" s="41" t="e">
        <f ca="1">IF($B18="","",Расчеты!F17)</f>
        <v>#N/A</v>
      </c>
      <c r="G18" s="484"/>
      <c r="H18" s="22" t="str">
        <f t="shared" ca="1" si="0"/>
        <v/>
      </c>
      <c r="I18" s="490"/>
      <c r="J18" s="490"/>
      <c r="K18" s="490"/>
      <c r="L18" s="490"/>
    </row>
    <row r="19" spans="2:12" ht="18.75" customHeight="1">
      <c r="B19" s="52" t="str">
        <f>Расчеты!B18</f>
        <v>Итого выручка</v>
      </c>
      <c r="C19" s="487"/>
      <c r="D19" s="53" t="e">
        <f ca="1">IF($B19="","",Расчеты!G18)</f>
        <v>#N/A</v>
      </c>
      <c r="E19" s="53"/>
      <c r="F19" s="53" t="e">
        <f ca="1">IF($B19="","",Расчеты!F18)</f>
        <v>#N/A</v>
      </c>
      <c r="G19" s="487"/>
      <c r="H19" s="54" t="str">
        <f t="shared" ca="1" si="0"/>
        <v/>
      </c>
      <c r="I19" s="506"/>
      <c r="J19" s="506"/>
      <c r="K19" s="506"/>
      <c r="L19" s="506"/>
    </row>
    <row r="20" spans="2:12" ht="33" customHeight="1">
      <c r="B20" s="50" t="str">
        <f>Расчеты!B19</f>
        <v>Себестоимость реализованных металлов</v>
      </c>
      <c r="C20" s="484"/>
      <c r="D20" s="41" t="e">
        <f ca="1">IF($B20="","",Расчеты!G19)</f>
        <v>#N/A</v>
      </c>
      <c r="E20" s="41"/>
      <c r="F20" s="41" t="e">
        <f ca="1">IF($B20="","",Расчеты!F19)</f>
        <v>#N/A</v>
      </c>
      <c r="G20" s="484"/>
      <c r="H20" s="22" t="str">
        <f t="shared" ca="1" si="0"/>
        <v/>
      </c>
      <c r="I20" s="490"/>
      <c r="J20" s="490"/>
      <c r="K20" s="490"/>
      <c r="L20" s="490"/>
    </row>
    <row r="21" spans="2:12" ht="32.25" customHeight="1">
      <c r="B21" s="50" t="str">
        <f>Расчеты!B20</f>
        <v>Себестоимость прочей реализации</v>
      </c>
      <c r="C21" s="484"/>
      <c r="D21" s="41" t="e">
        <f ca="1">IF($B21="","",Расчеты!G20)</f>
        <v>#N/A</v>
      </c>
      <c r="E21" s="41"/>
      <c r="F21" s="41" t="e">
        <f ca="1">IF($B21="","",Расчеты!F20)</f>
        <v>#N/A</v>
      </c>
      <c r="G21" s="484"/>
      <c r="H21" s="22" t="str">
        <f t="shared" ca="1" si="0"/>
        <v/>
      </c>
      <c r="I21" s="490"/>
      <c r="J21" s="490"/>
      <c r="K21" s="490"/>
      <c r="L21" s="490"/>
    </row>
    <row r="22" spans="2:12" ht="18.75" customHeight="1">
      <c r="B22" s="52" t="str">
        <f>Расчеты!B21</f>
        <v>Валовая прибыль</v>
      </c>
      <c r="C22" s="487"/>
      <c r="D22" s="53" t="e">
        <f ca="1">IF($B22="","",Расчеты!G21)</f>
        <v>#N/A</v>
      </c>
      <c r="E22" s="53"/>
      <c r="F22" s="53" t="e">
        <f ca="1">IF($B22="","",Расчеты!F21)</f>
        <v>#N/A</v>
      </c>
      <c r="G22" s="487"/>
      <c r="H22" s="54" t="str">
        <f t="shared" ca="1" si="0"/>
        <v/>
      </c>
      <c r="I22" s="490"/>
      <c r="J22" s="490"/>
      <c r="K22" s="490"/>
      <c r="L22" s="490"/>
    </row>
    <row r="23" spans="2:12" ht="18.75" customHeight="1">
      <c r="B23" s="50" t="str">
        <f>Расчеты!B22</f>
        <v>Административные расходы</v>
      </c>
      <c r="C23" s="484"/>
      <c r="D23" s="41" t="e">
        <f ca="1">IF($B23="","",Расчеты!G22)</f>
        <v>#N/A</v>
      </c>
      <c r="E23" s="41"/>
      <c r="F23" s="41" t="e">
        <f ca="1">IF($B23="","",Расчеты!F22)</f>
        <v>#N/A</v>
      </c>
      <c r="G23" s="484"/>
      <c r="H23" s="22" t="str">
        <f t="shared" ca="1" si="0"/>
        <v/>
      </c>
      <c r="I23" s="490"/>
      <c r="J23" s="490"/>
      <c r="K23" s="490"/>
      <c r="L23" s="490"/>
    </row>
    <row r="24" spans="2:12" ht="18.75" customHeight="1">
      <c r="B24" s="50" t="str">
        <f>Расчеты!B23</f>
        <v>Коммерческие расходы</v>
      </c>
      <c r="C24" s="484"/>
      <c r="D24" s="41" t="e">
        <f ca="1">IF($B24="","",Расчеты!G23)</f>
        <v>#N/A</v>
      </c>
      <c r="E24" s="41"/>
      <c r="F24" s="41" t="e">
        <f ca="1">IF($B24="","",Расчеты!F23)</f>
        <v>#N/A</v>
      </c>
      <c r="G24" s="484"/>
      <c r="H24" s="22" t="str">
        <f t="shared" ca="1" si="0"/>
        <v/>
      </c>
      <c r="I24" s="490"/>
      <c r="J24" s="490"/>
      <c r="K24" s="490"/>
      <c r="L24" s="490"/>
    </row>
    <row r="25" spans="2:12" ht="40.5" customHeight="1">
      <c r="B25" s="50" t="str">
        <f>Расчеты!B24</f>
        <v>Убыток от обесценения нефинансовых активов, нетто</v>
      </c>
      <c r="C25" s="484"/>
      <c r="D25" s="41" t="e">
        <f ca="1">IF($B25="","",Расчеты!G24)</f>
        <v>#N/A</v>
      </c>
      <c r="E25" s="41"/>
      <c r="F25" s="41" t="e">
        <f ca="1">IF($B25="","",Расчеты!F24)</f>
        <v>#N/A</v>
      </c>
      <c r="G25" s="484"/>
      <c r="H25" s="22" t="str">
        <f t="shared" ca="1" si="0"/>
        <v/>
      </c>
      <c r="I25" s="490"/>
      <c r="J25" s="490"/>
      <c r="K25" s="490"/>
      <c r="L25" s="490"/>
    </row>
    <row r="26" spans="2:12" ht="35.25" customHeight="1">
      <c r="B26" s="50" t="str">
        <f>Расчеты!B26</f>
        <v>Прочие операционные расходы, нетто</v>
      </c>
      <c r="C26" s="484"/>
      <c r="D26" s="41" t="e">
        <f ca="1">IF($B26="","",Расчеты!G26)</f>
        <v>#N/A</v>
      </c>
      <c r="E26" s="41"/>
      <c r="F26" s="41" t="e">
        <f ca="1">IF($B26="","",Расчеты!F26)</f>
        <v>#N/A</v>
      </c>
      <c r="G26" s="484"/>
      <c r="H26" s="22" t="str">
        <f t="shared" ca="1" si="0"/>
        <v/>
      </c>
      <c r="I26" s="490"/>
      <c r="J26" s="490"/>
      <c r="K26" s="490"/>
      <c r="L26" s="490"/>
    </row>
    <row r="27" spans="2:12" ht="34.5" customHeight="1">
      <c r="B27" s="50" t="str">
        <f>Расчеты!B27</f>
        <v>Прибыль от операционной деятельности</v>
      </c>
      <c r="C27" s="484"/>
      <c r="D27" s="41" t="e">
        <f ca="1">IF($B27="","",Расчеты!G27)</f>
        <v>#N/A</v>
      </c>
      <c r="E27" s="41"/>
      <c r="F27" s="41" t="e">
        <f ca="1">IF($B27="","",Расчеты!F27)</f>
        <v>#N/A</v>
      </c>
      <c r="G27" s="484"/>
      <c r="H27" s="22" t="str">
        <f t="shared" ca="1" si="0"/>
        <v/>
      </c>
      <c r="I27" s="490"/>
      <c r="J27" s="490"/>
      <c r="K27" s="490"/>
      <c r="L27" s="490"/>
    </row>
    <row r="28" spans="2:12" ht="37.5" customHeight="1">
      <c r="B28" s="50" t="str">
        <f>Расчеты!B28</f>
        <v>(Отрицательные)/положительные курсовые разницы, нетто</v>
      </c>
      <c r="C28" s="484"/>
      <c r="D28" s="41" t="e">
        <f ca="1">IF($B28="","",Расчеты!G28)</f>
        <v>#N/A</v>
      </c>
      <c r="E28" s="41"/>
      <c r="F28" s="41" t="e">
        <f ca="1">IF($B28="","",Расчеты!F28)</f>
        <v>#N/A</v>
      </c>
      <c r="G28" s="484"/>
      <c r="H28" s="22" t="str">
        <f t="shared" ca="1" si="0"/>
        <v/>
      </c>
      <c r="I28" s="490"/>
      <c r="J28" s="490"/>
      <c r="K28" s="490"/>
      <c r="L28" s="490"/>
    </row>
    <row r="29" spans="2:12" ht="18.75" customHeight="1">
      <c r="B29" s="50" t="str">
        <f>Расчеты!B30</f>
        <v>Финансовые расходы, нетто</v>
      </c>
      <c r="C29" s="484"/>
      <c r="D29" s="41" t="e">
        <f ca="1">IF($B29="","",Расчеты!G30)</f>
        <v>#N/A</v>
      </c>
      <c r="E29" s="41"/>
      <c r="F29" s="41" t="e">
        <f ca="1">IF($B29="","",Расчеты!F30)</f>
        <v>#N/A</v>
      </c>
      <c r="G29" s="484"/>
      <c r="H29" s="22" t="str">
        <f t="shared" ca="1" si="0"/>
        <v/>
      </c>
      <c r="I29" s="490"/>
      <c r="J29" s="490"/>
      <c r="K29" s="490"/>
      <c r="L29" s="490"/>
    </row>
    <row r="30" spans="2:12" ht="45" customHeight="1">
      <c r="B30" s="50" t="str">
        <f>Расчеты!B31</f>
        <v>Прибыль/(убыток) от выбытия дочерних организаций и зарубежных совместных операций</v>
      </c>
      <c r="C30" s="484"/>
      <c r="D30" s="41" t="e">
        <f ca="1">IF($B30="","",Расчеты!G31)</f>
        <v>#N/A</v>
      </c>
      <c r="E30" s="41"/>
      <c r="F30" s="41" t="e">
        <f ca="1">IF($B30="","",Расчеты!F31)</f>
        <v>#N/A</v>
      </c>
      <c r="G30" s="484"/>
      <c r="H30" s="22" t="str">
        <f t="shared" ca="1" si="0"/>
        <v/>
      </c>
      <c r="I30" s="490"/>
      <c r="J30" s="490"/>
      <c r="K30" s="490"/>
      <c r="L30" s="490"/>
    </row>
    <row r="31" spans="2:12" ht="37.5" customHeight="1">
      <c r="B31" s="50" t="str">
        <f>Расчеты!B33</f>
        <v>Прибыль от инвестиционной деятельности, нетто</v>
      </c>
      <c r="C31" s="484"/>
      <c r="D31" s="41" t="e">
        <f ca="1">IF($B31="","",Расчеты!G33)</f>
        <v>#N/A</v>
      </c>
      <c r="E31" s="41"/>
      <c r="F31" s="41" t="e">
        <f ca="1">IF($B31="","",Расчеты!F33)</f>
        <v>#N/A</v>
      </c>
      <c r="G31" s="484"/>
      <c r="H31" s="22" t="str">
        <f t="shared" ca="1" si="0"/>
        <v/>
      </c>
      <c r="I31" s="490"/>
      <c r="J31" s="490"/>
      <c r="K31" s="490"/>
      <c r="L31" s="490"/>
    </row>
    <row r="32" spans="2:12" ht="18.75" customHeight="1">
      <c r="B32" s="50" t="str">
        <f>Расчеты!B34</f>
        <v>Прибыль до налогообложения</v>
      </c>
      <c r="C32" s="484"/>
      <c r="D32" s="41" t="e">
        <f ca="1">IF($B32="","",Расчеты!G34)</f>
        <v>#N/A</v>
      </c>
      <c r="E32" s="41"/>
      <c r="F32" s="41" t="e">
        <f ca="1">IF($B32="","",Расчеты!F34)</f>
        <v>#N/A</v>
      </c>
      <c r="G32" s="484"/>
      <c r="H32" s="22" t="str">
        <f t="shared" ca="1" si="0"/>
        <v/>
      </c>
      <c r="I32" s="490"/>
      <c r="J32" s="490"/>
      <c r="K32" s="490"/>
      <c r="L32" s="490"/>
    </row>
    <row r="33" spans="2:12" ht="18.75" customHeight="1">
      <c r="B33" s="50" t="str">
        <f>Расчеты!B35</f>
        <v>Расходы по налогу на прибыль</v>
      </c>
      <c r="C33" s="484"/>
      <c r="D33" s="41" t="e">
        <f ca="1">IF($B33="","",Расчеты!G35)</f>
        <v>#N/A</v>
      </c>
      <c r="E33" s="41"/>
      <c r="F33" s="41" t="e">
        <f ca="1">IF($B33="","",Расчеты!F35)</f>
        <v>#N/A</v>
      </c>
      <c r="G33" s="484"/>
      <c r="H33" s="22" t="str">
        <f t="shared" ca="1" si="0"/>
        <v/>
      </c>
      <c r="I33" s="490"/>
      <c r="J33" s="490"/>
      <c r="K33" s="490"/>
      <c r="L33" s="490"/>
    </row>
    <row r="34" spans="2:12" ht="18.75" customHeight="1">
      <c r="B34" s="50" t="str">
        <f>Расчеты!B36</f>
        <v>Прибыль за год</v>
      </c>
      <c r="C34" s="484"/>
      <c r="D34" s="41" t="e">
        <f ca="1">IF($B34="","",Расчеты!G36)</f>
        <v>#N/A</v>
      </c>
      <c r="E34" s="41"/>
      <c r="F34" s="41" t="e">
        <f ca="1">IF($B34="","",Расчеты!F36)</f>
        <v>#N/A</v>
      </c>
      <c r="G34" s="484"/>
      <c r="H34" s="22" t="str">
        <f t="shared" ca="1" si="0"/>
        <v/>
      </c>
      <c r="I34" s="490"/>
      <c r="J34" s="490"/>
      <c r="K34" s="490"/>
      <c r="L34" s="490"/>
    </row>
  </sheetData>
  <mergeCells count="25">
    <mergeCell ref="I33:L33"/>
    <mergeCell ref="I34:L34"/>
    <mergeCell ref="K2:L2"/>
    <mergeCell ref="J9:L9"/>
    <mergeCell ref="J8:L8"/>
    <mergeCell ref="J10:L10"/>
    <mergeCell ref="J7:L7"/>
    <mergeCell ref="I15:L15"/>
    <mergeCell ref="I16:L16"/>
    <mergeCell ref="I17:L17"/>
    <mergeCell ref="I18:L18"/>
    <mergeCell ref="I19:L19"/>
    <mergeCell ref="I20:L20"/>
    <mergeCell ref="I21:L21"/>
    <mergeCell ref="I26:L26"/>
    <mergeCell ref="I22:L22"/>
    <mergeCell ref="I23:L23"/>
    <mergeCell ref="I24:L24"/>
    <mergeCell ref="I25:L25"/>
    <mergeCell ref="I32:L32"/>
    <mergeCell ref="I29:L29"/>
    <mergeCell ref="I30:L30"/>
    <mergeCell ref="I31:L31"/>
    <mergeCell ref="I27:L27"/>
    <mergeCell ref="I28:L28"/>
  </mergeCells>
  <conditionalFormatting sqref="B16:I34">
    <cfRule type="expression" dxfId="1" priority="1">
      <formula>MOD(ROW(),2)=0</formula>
    </cfRule>
  </conditionalFormatting>
  <conditionalFormatting sqref="H16:H17">
    <cfRule type="iconSet" priority="9">
      <iconSet iconSet="3Arrows">
        <cfvo type="percent" val="0"/>
        <cfvo type="num" val="0"/>
        <cfvo type="num" val="0" gte="0"/>
      </iconSet>
    </cfRule>
  </conditionalFormatting>
  <conditionalFormatting sqref="H18:H34">
    <cfRule type="iconSet" priority="20">
      <iconSet iconSet="3Arrows">
        <cfvo type="percent" val="0"/>
        <cfvo type="num" val="0"/>
        <cfvo type="num" val="0" gte="0"/>
      </iconSet>
    </cfRule>
  </conditionalFormatting>
  <conditionalFormatting sqref="J9 B9 D9 F9 H9">
    <cfRule type="iconSet" priority="4">
      <iconSet iconSet="3Arrows">
        <cfvo type="percent" val="0"/>
        <cfvo type="num" val="0"/>
        <cfvo type="num" val="0" gte="0"/>
      </iconSet>
    </cfRule>
  </conditionalFormatting>
  <dataValidations count="1">
    <dataValidation type="list" allowBlank="1" showInputMessage="1" showErrorMessage="1" sqref="K2" xr:uid="{00000000-0002-0000-0000-000000000000}">
      <formula1>Прошедшие_годы</formula1>
    </dataValidation>
  </dataValidations>
  <printOptions horizontalCentered="1"/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first="1" last="1" xr2:uid="{00000000-0003-0000-0000-000001000000}">
          <x14:colorSeries theme="0" tint="-0.34998626667073579"/>
          <x14:colorNegative theme="5"/>
          <x14:colorAxis rgb="FF000000"/>
          <x14:colorMarkers theme="4" tint="-0.499984740745262"/>
          <x14:colorFirst theme="4" tint="-0.499984740745262"/>
          <x14:colorLast theme="4" tint="-0.499984740745262"/>
          <x14:colorHigh theme="4"/>
          <x14:colorLow theme="4"/>
          <x14:sparklines>
            <x14:sparkline>
              <xm:f>Расчеты!C8:G8</xm:f>
              <xm:sqref>B10</xm:sqref>
            </x14:sparkline>
            <x14:sparkline>
              <xm:f>Расчеты!C9:G9</xm:f>
              <xm:sqref>D10</xm:sqref>
            </x14:sparkline>
            <x14:sparkline>
              <xm:f>Расчеты!C10:G10</xm:f>
              <xm:sqref>F10</xm:sqref>
            </x14:sparkline>
            <x14:sparkline>
              <xm:f>Расчеты!C11:G11</xm:f>
              <xm:sqref>H10</xm:sqref>
            </x14:sparkline>
            <x14:sparkline>
              <xm:f>Расчеты!C12:G12</xm:f>
              <xm:sqref>J10</xm:sqref>
            </x14:sparkline>
          </x14:sparklines>
        </x14:sparklineGroup>
        <x14:sparklineGroup markers="1" xr2:uid="{00000000-0003-0000-0000-000000000000}">
          <x14:colorSeries theme="0" tint="-0.3499862666707357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Расчеты!C15:G15</xm:f>
              <xm:sqref>I16</xm:sqref>
            </x14:sparkline>
            <x14:sparkline>
              <xm:f>Расчеты!C16:G16</xm:f>
              <xm:sqref>I17</xm:sqref>
            </x14:sparkline>
            <x14:sparkline>
              <xm:f>Расчеты!C17:G17</xm:f>
              <xm:sqref>I18</xm:sqref>
            </x14:sparkline>
            <x14:sparkline>
              <xm:f>Расчеты!C18:G18</xm:f>
              <xm:sqref>I19</xm:sqref>
            </x14:sparkline>
            <x14:sparkline>
              <xm:f>Расчеты!C19:G19</xm:f>
              <xm:sqref>I20</xm:sqref>
            </x14:sparkline>
            <x14:sparkline>
              <xm:f>Расчеты!C20:G20</xm:f>
              <xm:sqref>I21</xm:sqref>
            </x14:sparkline>
            <x14:sparkline>
              <xm:f>Расчеты!C21:G21</xm:f>
              <xm:sqref>I22</xm:sqref>
            </x14:sparkline>
            <x14:sparkline>
              <xm:f>Расчеты!C22:G22</xm:f>
              <xm:sqref>I23</xm:sqref>
            </x14:sparkline>
            <x14:sparkline>
              <xm:f>Расчеты!C23:G23</xm:f>
              <xm:sqref>I24</xm:sqref>
            </x14:sparkline>
            <x14:sparkline>
              <xm:f>Расчеты!C24:G24</xm:f>
              <xm:sqref>I25</xm:sqref>
            </x14:sparkline>
            <x14:sparkline>
              <xm:f>Расчеты!C26:G26</xm:f>
              <xm:sqref>I26</xm:sqref>
            </x14:sparkline>
            <x14:sparkline>
              <xm:f>Расчеты!C27:G27</xm:f>
              <xm:sqref>I27</xm:sqref>
            </x14:sparkline>
            <x14:sparkline>
              <xm:f>Расчеты!C28:G28</xm:f>
              <xm:sqref>I28</xm:sqref>
            </x14:sparkline>
            <x14:sparkline>
              <xm:f>Расчеты!C30:G30</xm:f>
              <xm:sqref>I29</xm:sqref>
            </x14:sparkline>
            <x14:sparkline>
              <xm:f>Расчеты!C31:G31</xm:f>
              <xm:sqref>I30</xm:sqref>
            </x14:sparkline>
            <x14:sparkline>
              <xm:f>Расчеты!C33:G33</xm:f>
              <xm:sqref>I31</xm:sqref>
            </x14:sparkline>
            <x14:sparkline>
              <xm:f>Расчеты!C34:G34</xm:f>
              <xm:sqref>I32</xm:sqref>
            </x14:sparkline>
            <x14:sparkline>
              <xm:f>Расчеты!C35:G35</xm:f>
              <xm:sqref>I33</xm:sqref>
            </x14:sparkline>
            <x14:sparkline>
              <xm:f>Расчеты!C36:G36</xm:f>
              <xm:sqref>I34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9073-D5B0-49AC-AA9F-00DAD5790086}">
  <sheetPr>
    <tabColor theme="6" tint="0.79998168889431442"/>
  </sheetPr>
  <dimension ref="B1:W75"/>
  <sheetViews>
    <sheetView showGridLines="0" zoomScaleNormal="100" workbookViewId="0">
      <pane xSplit="2" ySplit="3" topLeftCell="C38" activePane="bottomRight" state="frozen"/>
      <selection pane="bottomRight" activeCell="E52" sqref="E52"/>
      <selection pane="bottomLeft" activeCell="A4" sqref="A4"/>
      <selection pane="topRight" activeCell="C1" sqref="C1"/>
    </sheetView>
  </sheetViews>
  <sheetFormatPr defaultColWidth="11.42578125" defaultRowHeight="15"/>
  <cols>
    <col min="1" max="1" width="2.42578125" style="95" customWidth="1"/>
    <col min="2" max="2" width="57.140625" style="95" customWidth="1"/>
    <col min="3" max="3" width="9.140625" style="95" bestFit="1" customWidth="1"/>
    <col min="4" max="5" width="11.42578125" style="95"/>
    <col min="6" max="7" width="10.85546875" style="95" customWidth="1"/>
    <col min="8" max="12" width="11.42578125" style="95"/>
    <col min="13" max="13" width="11.42578125" style="95" bestFit="1" customWidth="1"/>
    <col min="14" max="22" width="11.42578125" style="95"/>
    <col min="23" max="23" width="73.7109375" style="95" customWidth="1"/>
    <col min="24" max="16384" width="11.42578125" style="95"/>
  </cols>
  <sheetData>
    <row r="1" spans="2:23" ht="15" customHeight="1">
      <c r="B1" s="514"/>
      <c r="C1" s="514"/>
      <c r="D1" s="514"/>
      <c r="E1" s="514"/>
    </row>
    <row r="2" spans="2:23" s="170" customFormat="1" ht="27" customHeight="1">
      <c r="B2" s="511" t="s">
        <v>8</v>
      </c>
      <c r="C2" s="515" t="s">
        <v>9</v>
      </c>
      <c r="D2" s="515"/>
      <c r="E2" s="515"/>
      <c r="F2" s="516"/>
      <c r="G2" s="517" t="e" vm="1">
        <v>#VALUE!</v>
      </c>
      <c r="H2" s="509" t="s">
        <v>10</v>
      </c>
      <c r="I2" s="512"/>
      <c r="J2" s="512"/>
      <c r="K2" s="513"/>
      <c r="L2" s="519" t="e" vm="2">
        <v>#VALUE!</v>
      </c>
      <c r="M2" s="509" t="s">
        <v>11</v>
      </c>
      <c r="N2" s="512"/>
      <c r="O2" s="512"/>
      <c r="P2" s="513"/>
      <c r="Q2" s="519" t="e" vm="3">
        <v>#VALUE!</v>
      </c>
      <c r="R2" s="509" t="s">
        <v>12</v>
      </c>
      <c r="S2" s="512"/>
      <c r="T2" s="512"/>
      <c r="U2" s="513"/>
      <c r="V2" s="509" t="e" vm="4">
        <v>#VALUE!</v>
      </c>
      <c r="W2" s="507" t="s">
        <v>13</v>
      </c>
    </row>
    <row r="3" spans="2:23">
      <c r="B3" s="511"/>
      <c r="C3" s="156">
        <v>2021</v>
      </c>
      <c r="D3" s="156">
        <v>2022</v>
      </c>
      <c r="E3" s="156">
        <v>2023</v>
      </c>
      <c r="F3" s="161">
        <v>2024</v>
      </c>
      <c r="G3" s="518"/>
      <c r="H3" s="162">
        <v>2021</v>
      </c>
      <c r="I3" s="156">
        <v>2022</v>
      </c>
      <c r="J3" s="156">
        <v>2023</v>
      </c>
      <c r="K3" s="161">
        <v>2024</v>
      </c>
      <c r="L3" s="520"/>
      <c r="M3" s="162">
        <v>2021</v>
      </c>
      <c r="N3" s="156">
        <v>2022</v>
      </c>
      <c r="O3" s="156">
        <v>2023</v>
      </c>
      <c r="P3" s="161">
        <v>2024</v>
      </c>
      <c r="Q3" s="520"/>
      <c r="R3" s="162">
        <v>2021</v>
      </c>
      <c r="S3" s="156">
        <v>2022</v>
      </c>
      <c r="T3" s="156">
        <v>2023</v>
      </c>
      <c r="U3" s="161">
        <v>2024</v>
      </c>
      <c r="V3" s="510"/>
      <c r="W3" s="508"/>
    </row>
    <row r="4" spans="2:23" ht="15" customHeight="1">
      <c r="B4" s="188"/>
      <c r="C4" s="178"/>
      <c r="D4" s="178"/>
      <c r="E4" s="178"/>
      <c r="F4" s="185"/>
      <c r="G4" s="186"/>
      <c r="H4" s="178"/>
      <c r="I4" s="178"/>
      <c r="J4" s="178"/>
      <c r="K4" s="185"/>
      <c r="L4" s="187"/>
      <c r="M4" s="178"/>
      <c r="N4" s="178"/>
      <c r="O4" s="178"/>
      <c r="P4" s="185"/>
      <c r="Q4" s="187"/>
      <c r="R4" s="178"/>
      <c r="S4" s="178"/>
      <c r="T4" s="178"/>
      <c r="U4" s="185"/>
      <c r="V4" s="187"/>
      <c r="W4" s="303"/>
    </row>
    <row r="5" spans="2:23" ht="15.95" customHeight="1">
      <c r="B5" s="184" t="s">
        <v>14</v>
      </c>
      <c r="C5" s="117"/>
      <c r="D5" s="101"/>
      <c r="E5" s="101"/>
      <c r="F5" s="132"/>
      <c r="G5" s="101"/>
      <c r="H5" s="146"/>
      <c r="I5" s="102"/>
      <c r="J5" s="102"/>
      <c r="K5" s="147"/>
      <c r="L5" s="102"/>
      <c r="M5" s="146"/>
      <c r="N5" s="102"/>
      <c r="O5" s="102"/>
      <c r="P5" s="147"/>
      <c r="Q5" s="102"/>
      <c r="R5" s="146"/>
      <c r="S5" s="102"/>
      <c r="T5" s="102"/>
      <c r="U5" s="147"/>
      <c r="V5" s="146"/>
      <c r="W5" s="303"/>
    </row>
    <row r="6" spans="2:23" ht="15.95" customHeight="1">
      <c r="B6" s="123" t="s">
        <v>15</v>
      </c>
      <c r="C6" s="119">
        <f>Норникель!C62</f>
        <v>9870</v>
      </c>
      <c r="D6" s="106">
        <f>Норникель!D62</f>
        <v>8403</v>
      </c>
      <c r="E6" s="106">
        <f>Норникель!E62</f>
        <v>7342</v>
      </c>
      <c r="F6" s="134">
        <f>Норникель!F62</f>
        <v>6845</v>
      </c>
      <c r="G6" s="104"/>
      <c r="H6" s="119">
        <f>Vale!C56</f>
        <v>21384</v>
      </c>
      <c r="I6" s="106">
        <f>Vale!D56</f>
        <v>15526</v>
      </c>
      <c r="J6" s="106">
        <f>Vale!E56</f>
        <v>14767</v>
      </c>
      <c r="K6" s="134">
        <f>Vale!F56</f>
        <v>13481</v>
      </c>
      <c r="L6" s="104"/>
      <c r="M6" s="119">
        <f>'Anglo American Platinum'!I62</f>
        <v>7169.5530726256984</v>
      </c>
      <c r="N6" s="106">
        <f>'Anglo American Platinum'!J62</f>
        <v>5513.8291333743091</v>
      </c>
      <c r="O6" s="106">
        <f>'Anglo American Platinum'!K62</f>
        <v>3691.4058355437664</v>
      </c>
      <c r="P6" s="134">
        <f>'Anglo American Platinum'!L62</f>
        <v>3211.1050027487627</v>
      </c>
      <c r="Q6" s="104"/>
      <c r="R6" s="119">
        <f>'Impala Platinum'!I62</f>
        <v>3957.5418994413408</v>
      </c>
      <c r="S6" s="106">
        <f>'Impala Platinum'!J62</f>
        <v>3698.8322065150583</v>
      </c>
      <c r="T6" s="106">
        <f>'Impala Platinum'!K62</f>
        <v>3594.8010610079573</v>
      </c>
      <c r="U6" s="134">
        <f>'Impala Platinum'!L62</f>
        <v>2781.0335349092907</v>
      </c>
      <c r="V6" s="118"/>
      <c r="W6" s="303"/>
    </row>
    <row r="7" spans="2:23" ht="15.95" customHeight="1">
      <c r="B7" s="123" t="s">
        <v>16</v>
      </c>
      <c r="C7" s="119">
        <f>Норникель!C98</f>
        <v>8083</v>
      </c>
      <c r="D7" s="106">
        <f>Норникель!D98</f>
        <v>7689</v>
      </c>
      <c r="E7" s="106">
        <f>Норникель!E98</f>
        <v>8831</v>
      </c>
      <c r="F7" s="134">
        <f>Норникель!F98</f>
        <v>5919</v>
      </c>
      <c r="G7" s="104"/>
      <c r="H7" s="119">
        <f>Vale!C87</f>
        <v>14843</v>
      </c>
      <c r="I7" s="106">
        <f>Vale!D87</f>
        <v>13891</v>
      </c>
      <c r="J7" s="106">
        <f>Vale!E87</f>
        <v>14094</v>
      </c>
      <c r="K7" s="134">
        <f>Vale!F87</f>
        <v>13090</v>
      </c>
      <c r="L7" s="104"/>
      <c r="M7" s="119">
        <f>'Anglo American Platinum'!I81</f>
        <v>3943.2960893854747</v>
      </c>
      <c r="N7" s="106">
        <f>'Anglo American Platinum'!J81</f>
        <v>3568.3466502765827</v>
      </c>
      <c r="O7" s="106">
        <f>'Anglo American Platinum'!K81</f>
        <v>2490.132625994695</v>
      </c>
      <c r="P7" s="134">
        <f>'Anglo American Platinum'!L81</f>
        <v>2479.4392523364486</v>
      </c>
      <c r="Q7" s="104"/>
      <c r="R7" s="119">
        <f>'Impala Platinum'!I90</f>
        <v>1242.5279329608938</v>
      </c>
      <c r="S7" s="106">
        <f>'Impala Platinum'!J90</f>
        <v>1019.4837123540259</v>
      </c>
      <c r="T7" s="106">
        <f>'Impala Platinum'!K90</f>
        <v>937.50663129973464</v>
      </c>
      <c r="U7" s="134">
        <f>'Impala Platinum'!L90</f>
        <v>926.00329851566789</v>
      </c>
      <c r="V7" s="118"/>
      <c r="W7" s="303"/>
    </row>
    <row r="8" spans="2:23" ht="15.95" customHeight="1">
      <c r="B8" s="343" t="s">
        <v>17</v>
      </c>
      <c r="C8" s="297">
        <f>C6-C7</f>
        <v>1787</v>
      </c>
      <c r="D8" s="163">
        <f t="shared" ref="D8:F8" si="0">D6-D7</f>
        <v>714</v>
      </c>
      <c r="E8" s="163">
        <f t="shared" si="0"/>
        <v>-1489</v>
      </c>
      <c r="F8" s="344">
        <f t="shared" si="0"/>
        <v>926</v>
      </c>
      <c r="G8" s="163"/>
      <c r="H8" s="297">
        <f>H6-H7</f>
        <v>6541</v>
      </c>
      <c r="I8" s="163">
        <f t="shared" ref="I8" si="1">I6-I7</f>
        <v>1635</v>
      </c>
      <c r="J8" s="163">
        <f t="shared" ref="J8" si="2">J6-J7</f>
        <v>673</v>
      </c>
      <c r="K8" s="344">
        <f t="shared" ref="K8" si="3">K6-K7</f>
        <v>391</v>
      </c>
      <c r="L8" s="163"/>
      <c r="M8" s="297">
        <f>M6-M7</f>
        <v>3226.2569832402237</v>
      </c>
      <c r="N8" s="163">
        <f t="shared" ref="N8" si="4">N6-N7</f>
        <v>1945.4824830977263</v>
      </c>
      <c r="O8" s="163">
        <f t="shared" ref="O8" si="5">O6-O7</f>
        <v>1201.2732095490715</v>
      </c>
      <c r="P8" s="344">
        <f t="shared" ref="P8" si="6">P6-P7</f>
        <v>731.66575041231408</v>
      </c>
      <c r="Q8" s="163"/>
      <c r="R8" s="297">
        <f>R6-R7</f>
        <v>2715.0139664804469</v>
      </c>
      <c r="S8" s="163">
        <f t="shared" ref="S8" si="7">S6-S7</f>
        <v>2679.3484941610322</v>
      </c>
      <c r="T8" s="163">
        <f t="shared" ref="T8" si="8">T6-T7</f>
        <v>2657.2944297082227</v>
      </c>
      <c r="U8" s="344">
        <f t="shared" ref="U8" si="9">U6-U7</f>
        <v>1855.0302363936228</v>
      </c>
      <c r="V8" s="297"/>
      <c r="W8" s="303"/>
    </row>
    <row r="9" spans="2:23">
      <c r="B9" s="123" t="s">
        <v>15</v>
      </c>
      <c r="C9" s="118">
        <f>Норникель!C62</f>
        <v>9870</v>
      </c>
      <c r="D9" s="104">
        <f>Норникель!D62</f>
        <v>8403</v>
      </c>
      <c r="E9" s="104">
        <f>Норникель!E62</f>
        <v>7342</v>
      </c>
      <c r="F9" s="133">
        <f>Норникель!F62</f>
        <v>6845</v>
      </c>
      <c r="G9" s="104"/>
      <c r="H9" s="118">
        <f>Vale!C56</f>
        <v>21384</v>
      </c>
      <c r="I9" s="104">
        <f>Vale!D56</f>
        <v>15526</v>
      </c>
      <c r="J9" s="104">
        <f>Vale!E56</f>
        <v>14767</v>
      </c>
      <c r="K9" s="133">
        <f>Vale!F56</f>
        <v>13481</v>
      </c>
      <c r="L9" s="104"/>
      <c r="M9" s="118">
        <f>'Anglo American Platinum'!I62</f>
        <v>7169.5530726256984</v>
      </c>
      <c r="N9" s="104">
        <f>'Anglo American Platinum'!J62</f>
        <v>5513.8291333743091</v>
      </c>
      <c r="O9" s="104">
        <f>'Anglo American Platinum'!K62</f>
        <v>3691.4058355437664</v>
      </c>
      <c r="P9" s="133">
        <f>'Anglo American Platinum'!L62</f>
        <v>3211.1050027487627</v>
      </c>
      <c r="Q9" s="104"/>
      <c r="R9" s="118">
        <f>'Impala Platinum'!I62</f>
        <v>3957.5418994413408</v>
      </c>
      <c r="S9" s="104">
        <f>'Impala Platinum'!J62</f>
        <v>3698.8322065150583</v>
      </c>
      <c r="T9" s="104">
        <f>'Impala Platinum'!K62</f>
        <v>3594.8010610079573</v>
      </c>
      <c r="U9" s="133">
        <f>'Impala Platinum'!L62</f>
        <v>2781.0335349092907</v>
      </c>
      <c r="V9" s="118"/>
      <c r="W9" s="303"/>
    </row>
    <row r="10" spans="2:23">
      <c r="B10" s="123" t="s">
        <v>18</v>
      </c>
      <c r="C10" s="118">
        <f>Норникель!C56</f>
        <v>111</v>
      </c>
      <c r="D10" s="104">
        <f>Норникель!D56</f>
        <v>192</v>
      </c>
      <c r="E10" s="104">
        <f>Норникель!E56</f>
        <v>173</v>
      </c>
      <c r="F10" s="133">
        <f>Норникель!F56</f>
        <v>135</v>
      </c>
      <c r="G10" s="104"/>
      <c r="H10" s="118">
        <f>Vale!C50</f>
        <v>3914</v>
      </c>
      <c r="I10" s="104">
        <f>Vale!D50</f>
        <v>4319</v>
      </c>
      <c r="J10" s="104">
        <f>Vale!E50</f>
        <v>4197</v>
      </c>
      <c r="K10" s="133">
        <f>Vale!F50</f>
        <v>2358</v>
      </c>
      <c r="L10" s="104"/>
      <c r="M10" s="118">
        <f>'Anglo American Platinum'!I58</f>
        <v>542.31843575418998</v>
      </c>
      <c r="N10" s="104">
        <f>'Anglo American Platinum'!J58</f>
        <v>243.02397049784881</v>
      </c>
      <c r="O10" s="104">
        <f>'Anglo American Platinum'!K58</f>
        <v>202.81167108753314</v>
      </c>
      <c r="P10" s="133">
        <f>'Anglo American Platinum'!L58</f>
        <v>203.2985156679494</v>
      </c>
      <c r="Q10" s="104"/>
      <c r="R10" s="118">
        <f>'Impala Platinum'!I60</f>
        <v>77.444134078212286</v>
      </c>
      <c r="S10" s="104">
        <f>'Impala Platinum'!J60</f>
        <v>121.75783650891211</v>
      </c>
      <c r="T10" s="104">
        <f>'Impala Platinum'!K60</f>
        <v>224.40318302387266</v>
      </c>
      <c r="U10" s="133">
        <f>'Impala Platinum'!L60</f>
        <v>95.052226498075854</v>
      </c>
      <c r="V10" s="118"/>
      <c r="W10" s="303"/>
    </row>
    <row r="11" spans="2:23">
      <c r="B11" s="123" t="str">
        <f>Норникель!B58</f>
        <v>Авансовые платежи по налогу на прибыль</v>
      </c>
      <c r="C11" s="118">
        <f>Норникель!C58</f>
        <v>203</v>
      </c>
      <c r="D11" s="104">
        <f>Норникель!D58</f>
        <v>17</v>
      </c>
      <c r="E11" s="104">
        <f>Норникель!E58</f>
        <v>101</v>
      </c>
      <c r="F11" s="133">
        <f>Норникель!F58</f>
        <v>38</v>
      </c>
      <c r="G11" s="104"/>
      <c r="H11" s="118">
        <f>Vale!C53</f>
        <v>862</v>
      </c>
      <c r="I11" s="104">
        <f>Vale!D53</f>
        <v>1272</v>
      </c>
      <c r="J11" s="104">
        <f>Vale!E53</f>
        <v>900</v>
      </c>
      <c r="K11" s="133">
        <f>Vale!F53</f>
        <v>1100</v>
      </c>
      <c r="L11" s="104"/>
      <c r="M11" s="118">
        <f>'Anglo American Platinum'!I60</f>
        <v>169.76256983240222</v>
      </c>
      <c r="N11" s="104">
        <f>'Anglo American Platinum'!J60</f>
        <v>196.68100799016597</v>
      </c>
      <c r="O11" s="104">
        <f>'Anglo American Platinum'!K60</f>
        <v>122.33421750663129</v>
      </c>
      <c r="P11" s="133">
        <f>'Anglo American Platinum'!L60</f>
        <v>90.324354040681683</v>
      </c>
      <c r="Q11" s="104"/>
      <c r="R11" s="118">
        <f>'Impala Platinum'!I58</f>
        <v>74.30167597765363</v>
      </c>
      <c r="S11" s="104">
        <f>'Impala Platinum'!J58</f>
        <v>32.575291948371238</v>
      </c>
      <c r="T11" s="104">
        <f>'Impala Platinum'!K58</f>
        <v>56.180371352785144</v>
      </c>
      <c r="U11" s="133">
        <f>'Impala Platinum'!L58</f>
        <v>43.485431555799885</v>
      </c>
      <c r="V11" s="118"/>
      <c r="W11" s="303"/>
    </row>
    <row r="12" spans="2:23">
      <c r="B12" s="157" t="s">
        <v>19</v>
      </c>
      <c r="C12" s="119">
        <f>C9-C10-C11</f>
        <v>9556</v>
      </c>
      <c r="D12" s="106">
        <f t="shared" ref="D12:F12" si="10">D9-D10-D11</f>
        <v>8194</v>
      </c>
      <c r="E12" s="106">
        <f t="shared" si="10"/>
        <v>7068</v>
      </c>
      <c r="F12" s="134">
        <f t="shared" si="10"/>
        <v>6672</v>
      </c>
      <c r="G12" s="104"/>
      <c r="H12" s="118">
        <f t="shared" ref="H12:P12" si="11">H9-H10-H11</f>
        <v>16608</v>
      </c>
      <c r="I12" s="104">
        <f t="shared" si="11"/>
        <v>9935</v>
      </c>
      <c r="J12" s="104">
        <f t="shared" si="11"/>
        <v>9670</v>
      </c>
      <c r="K12" s="133">
        <f t="shared" si="11"/>
        <v>10023</v>
      </c>
      <c r="L12" s="104"/>
      <c r="M12" s="118">
        <f>M9-M10-M11</f>
        <v>6457.4720670391062</v>
      </c>
      <c r="N12" s="104">
        <f t="shared" si="11"/>
        <v>5074.1241548862945</v>
      </c>
      <c r="O12" s="104">
        <f t="shared" si="11"/>
        <v>3366.2599469496017</v>
      </c>
      <c r="P12" s="133">
        <f t="shared" si="11"/>
        <v>2917.4821330401319</v>
      </c>
      <c r="Q12" s="104"/>
      <c r="R12" s="118">
        <f t="shared" ref="R12:U12" si="12">R9-R10-R11</f>
        <v>3805.7960893854747</v>
      </c>
      <c r="S12" s="104">
        <f t="shared" si="12"/>
        <v>3544.499078057775</v>
      </c>
      <c r="T12" s="104">
        <f t="shared" si="12"/>
        <v>3314.2175066312993</v>
      </c>
      <c r="U12" s="133">
        <f t="shared" si="12"/>
        <v>2642.4958768554147</v>
      </c>
      <c r="V12" s="118"/>
      <c r="W12" s="303"/>
    </row>
    <row r="13" spans="2:23">
      <c r="B13" s="157" t="s">
        <v>16</v>
      </c>
      <c r="C13" s="119">
        <f>Норникель!C98</f>
        <v>8083</v>
      </c>
      <c r="D13" s="106">
        <f>Норникель!D98</f>
        <v>7689</v>
      </c>
      <c r="E13" s="106">
        <f>Норникель!E98</f>
        <v>8831</v>
      </c>
      <c r="F13" s="134">
        <f>Норникель!F98</f>
        <v>5919</v>
      </c>
      <c r="G13" s="104"/>
      <c r="H13" s="118">
        <f>Vale!C87</f>
        <v>14843</v>
      </c>
      <c r="I13" s="104">
        <f>Vale!D87</f>
        <v>13891</v>
      </c>
      <c r="J13" s="104">
        <f>Vale!E87</f>
        <v>14094</v>
      </c>
      <c r="K13" s="133">
        <f>Vale!F87</f>
        <v>13090</v>
      </c>
      <c r="L13" s="104"/>
      <c r="M13" s="118">
        <f>'Anglo American Platinum'!I81</f>
        <v>3943.2960893854747</v>
      </c>
      <c r="N13" s="104">
        <f>'Anglo American Platinum'!J81</f>
        <v>3568.3466502765827</v>
      </c>
      <c r="O13" s="104">
        <f>'Anglo American Platinum'!K81</f>
        <v>2490.132625994695</v>
      </c>
      <c r="P13" s="133">
        <f>'Anglo American Platinum'!L81</f>
        <v>2479.4392523364486</v>
      </c>
      <c r="Q13" s="104"/>
      <c r="R13" s="118">
        <f>'Impala Platinum'!I90</f>
        <v>1242.5279329608938</v>
      </c>
      <c r="S13" s="104">
        <f>'Impala Platinum'!J90</f>
        <v>1019.4837123540259</v>
      </c>
      <c r="T13" s="104">
        <f>'Impala Platinum'!K90</f>
        <v>937.50663129973464</v>
      </c>
      <c r="U13" s="133">
        <f>'Impala Platinum'!L90</f>
        <v>926.00329851566789</v>
      </c>
      <c r="V13" s="118"/>
      <c r="W13" s="303"/>
    </row>
    <row r="14" spans="2:23" ht="15.95">
      <c r="B14" s="173" t="s">
        <v>20</v>
      </c>
      <c r="C14" s="120">
        <f>C12/C13</f>
        <v>1.1822343189409872</v>
      </c>
      <c r="D14" s="121">
        <f t="shared" ref="D14:F14" si="13">D12/D13</f>
        <v>1.0656782416439068</v>
      </c>
      <c r="E14" s="121">
        <f t="shared" si="13"/>
        <v>0.80036235986864457</v>
      </c>
      <c r="F14" s="135">
        <f t="shared" si="13"/>
        <v>1.1272174353775977</v>
      </c>
      <c r="G14" s="163"/>
      <c r="H14" s="120">
        <f t="shared" ref="H14:U14" si="14">H12/H13</f>
        <v>1.1189112713063396</v>
      </c>
      <c r="I14" s="121">
        <f t="shared" si="14"/>
        <v>0.7152112878842416</v>
      </c>
      <c r="J14" s="121">
        <f t="shared" si="14"/>
        <v>0.68610756350219948</v>
      </c>
      <c r="K14" s="135">
        <f t="shared" si="14"/>
        <v>0.76569900687547743</v>
      </c>
      <c r="L14" s="163"/>
      <c r="M14" s="120">
        <f t="shared" si="14"/>
        <v>1.6375823475242617</v>
      </c>
      <c r="N14" s="121">
        <f t="shared" si="14"/>
        <v>1.4219818454277695</v>
      </c>
      <c r="O14" s="121">
        <f t="shared" si="14"/>
        <v>1.351839621636592</v>
      </c>
      <c r="P14" s="135">
        <f t="shared" si="14"/>
        <v>1.1766701403516551</v>
      </c>
      <c r="Q14" s="163"/>
      <c r="R14" s="120">
        <f t="shared" si="14"/>
        <v>3.0629461023998199</v>
      </c>
      <c r="S14" s="121">
        <f t="shared" si="14"/>
        <v>3.4767589075782235</v>
      </c>
      <c r="T14" s="121">
        <f t="shared" si="14"/>
        <v>3.5351403349932098</v>
      </c>
      <c r="U14" s="135">
        <f t="shared" si="14"/>
        <v>2.8536570885775348</v>
      </c>
      <c r="V14" s="297"/>
      <c r="W14" s="303"/>
    </row>
    <row r="15" spans="2:23">
      <c r="B15" s="123" t="s">
        <v>15</v>
      </c>
      <c r="C15" s="118">
        <f>Норникель!C62</f>
        <v>9870</v>
      </c>
      <c r="D15" s="104">
        <f>Норникель!D62</f>
        <v>8403</v>
      </c>
      <c r="E15" s="104">
        <f>Норникель!E62</f>
        <v>7342</v>
      </c>
      <c r="F15" s="133">
        <f>Норникель!F62</f>
        <v>6845</v>
      </c>
      <c r="G15" s="104"/>
      <c r="H15" s="118">
        <f>Vale!C56</f>
        <v>21384</v>
      </c>
      <c r="I15" s="104">
        <f>Vale!D56</f>
        <v>15526</v>
      </c>
      <c r="J15" s="104">
        <f>Vale!E56</f>
        <v>14767</v>
      </c>
      <c r="K15" s="133">
        <f>Vale!F56</f>
        <v>13481</v>
      </c>
      <c r="L15" s="104"/>
      <c r="M15" s="118">
        <f>'Anglo American Platinum'!I62</f>
        <v>7169.5530726256984</v>
      </c>
      <c r="N15" s="104">
        <f>'Anglo American Platinum'!J62</f>
        <v>5513.8291333743091</v>
      </c>
      <c r="O15" s="104">
        <f>'Anglo American Platinum'!K62</f>
        <v>3691.4058355437664</v>
      </c>
      <c r="P15" s="133">
        <f>'Anglo American Platinum'!L62</f>
        <v>3211.1050027487627</v>
      </c>
      <c r="Q15" s="104"/>
      <c r="R15" s="118">
        <f>'Impala Platinum'!I62</f>
        <v>3957.5418994413408</v>
      </c>
      <c r="S15" s="104">
        <f>'Impala Platinum'!J62</f>
        <v>3698.8322065150583</v>
      </c>
      <c r="T15" s="104">
        <f>'Impala Platinum'!K62</f>
        <v>3594.8010610079573</v>
      </c>
      <c r="U15" s="133">
        <f>'Impala Platinum'!L62</f>
        <v>2781.0335349092907</v>
      </c>
      <c r="V15" s="118"/>
      <c r="W15" s="303"/>
    </row>
    <row r="16" spans="2:23">
      <c r="B16" s="123" t="str">
        <f>Норникель!B54</f>
        <v>Запасы</v>
      </c>
      <c r="C16" s="118">
        <f>Норникель!C54</f>
        <v>3026</v>
      </c>
      <c r="D16" s="104">
        <f>Норникель!D54</f>
        <v>4945</v>
      </c>
      <c r="E16" s="104">
        <f>Норникель!E54</f>
        <v>3817</v>
      </c>
      <c r="F16" s="133">
        <f>Норникель!F54</f>
        <v>3114</v>
      </c>
      <c r="G16" s="104"/>
      <c r="H16" s="118">
        <f>Vale!C52</f>
        <v>4377</v>
      </c>
      <c r="I16" s="104">
        <f>Vale!D52</f>
        <v>4482</v>
      </c>
      <c r="J16" s="104">
        <f>Vale!E52</f>
        <v>4684</v>
      </c>
      <c r="K16" s="133">
        <f>Vale!F52</f>
        <v>4605</v>
      </c>
      <c r="L16" s="104"/>
      <c r="M16" s="118">
        <f>'Anglo American Platinum'!I57</f>
        <v>3595.18156424581</v>
      </c>
      <c r="N16" s="104">
        <f>'Anglo American Platinum'!J57</f>
        <v>1818.8690842040567</v>
      </c>
      <c r="O16" s="104">
        <f>'Anglo American Platinum'!K57</f>
        <v>1291.9363395225464</v>
      </c>
      <c r="P16" s="133">
        <f>'Anglo American Platinum'!L57</f>
        <v>1361.1324903793293</v>
      </c>
      <c r="Q16" s="104"/>
      <c r="R16" s="118">
        <f>'Impala Platinum'!I56</f>
        <v>1585.963687150838</v>
      </c>
      <c r="S16" s="104">
        <f>'Impala Platinum'!J56</f>
        <v>1468.8998156115551</v>
      </c>
      <c r="T16" s="104">
        <f>'Impala Platinum'!K56</f>
        <v>1290.1856763925728</v>
      </c>
      <c r="U16" s="133">
        <f>'Impala Platinum'!L56</f>
        <v>1461.1324903793293</v>
      </c>
      <c r="V16" s="118"/>
      <c r="W16" s="303"/>
    </row>
    <row r="17" spans="2:23">
      <c r="B17" s="123" t="s">
        <v>16</v>
      </c>
      <c r="C17" s="118">
        <f>Норникель!C98</f>
        <v>8083</v>
      </c>
      <c r="D17" s="104">
        <f>Норникель!D98</f>
        <v>7689</v>
      </c>
      <c r="E17" s="104">
        <f>Норникель!E98</f>
        <v>8831</v>
      </c>
      <c r="F17" s="133">
        <f>Норникель!F98</f>
        <v>5919</v>
      </c>
      <c r="G17" s="104"/>
      <c r="H17" s="118">
        <f>Vale!C87</f>
        <v>14843</v>
      </c>
      <c r="I17" s="104">
        <f>Vale!D87</f>
        <v>13891</v>
      </c>
      <c r="J17" s="104">
        <f>Vale!E87</f>
        <v>14094</v>
      </c>
      <c r="K17" s="133">
        <f>Vale!F87</f>
        <v>13090</v>
      </c>
      <c r="L17" s="104"/>
      <c r="M17" s="118">
        <f>'Anglo American Platinum'!I81</f>
        <v>3943.2960893854747</v>
      </c>
      <c r="N17" s="104">
        <f>'Anglo American Platinum'!J81</f>
        <v>3568.3466502765827</v>
      </c>
      <c r="O17" s="104">
        <f>'Anglo American Platinum'!K81</f>
        <v>2490.132625994695</v>
      </c>
      <c r="P17" s="133">
        <f>'Anglo American Platinum'!L81</f>
        <v>2479.4392523364486</v>
      </c>
      <c r="Q17" s="104"/>
      <c r="R17" s="118">
        <f>'Impala Platinum'!I90</f>
        <v>1242.5279329608938</v>
      </c>
      <c r="S17" s="104">
        <f>'Impala Platinum'!J90</f>
        <v>1019.4837123540259</v>
      </c>
      <c r="T17" s="104">
        <f>'Impala Platinum'!K90</f>
        <v>937.50663129973464</v>
      </c>
      <c r="U17" s="133">
        <f>'Impala Platinum'!L90</f>
        <v>926.00329851566789</v>
      </c>
      <c r="V17" s="118"/>
      <c r="W17" s="303"/>
    </row>
    <row r="18" spans="2:23" ht="15.95">
      <c r="B18" s="173" t="s">
        <v>21</v>
      </c>
      <c r="C18" s="122">
        <f>(C15-C16)/C17</f>
        <v>0.84671532846715325</v>
      </c>
      <c r="D18" s="96">
        <f t="shared" ref="D18:U18" si="15">(D15-D16)/D17</f>
        <v>0.44973338535570295</v>
      </c>
      <c r="E18" s="96">
        <f t="shared" si="15"/>
        <v>0.3991620428037595</v>
      </c>
      <c r="F18" s="136">
        <f t="shared" si="15"/>
        <v>0.63034296333840178</v>
      </c>
      <c r="G18" s="163"/>
      <c r="H18" s="122">
        <f t="shared" si="15"/>
        <v>1.1457926295223337</v>
      </c>
      <c r="I18" s="96">
        <f t="shared" si="15"/>
        <v>0.79504715283276939</v>
      </c>
      <c r="J18" s="96">
        <f t="shared" si="15"/>
        <v>0.71541081311196253</v>
      </c>
      <c r="K18" s="136">
        <f t="shared" si="15"/>
        <v>0.67807486631016045</v>
      </c>
      <c r="L18" s="163"/>
      <c r="M18" s="122">
        <f t="shared" si="15"/>
        <v>0.90644258695190205</v>
      </c>
      <c r="N18" s="96">
        <f t="shared" si="15"/>
        <v>1.0354823707735501</v>
      </c>
      <c r="O18" s="96">
        <f t="shared" si="15"/>
        <v>0.96359104369500836</v>
      </c>
      <c r="P18" s="136">
        <f t="shared" si="15"/>
        <v>0.74612536307398936</v>
      </c>
      <c r="Q18" s="163"/>
      <c r="R18" s="122">
        <f t="shared" si="15"/>
        <v>1.9086719496431181</v>
      </c>
      <c r="S18" s="96">
        <f t="shared" si="15"/>
        <v>2.1873153674564412</v>
      </c>
      <c r="T18" s="96">
        <f t="shared" si="15"/>
        <v>2.4582390221819832</v>
      </c>
      <c r="U18" s="136">
        <f t="shared" si="15"/>
        <v>1.4253740204227023</v>
      </c>
      <c r="V18" s="297"/>
      <c r="W18" s="303" t="s">
        <v>22</v>
      </c>
    </row>
    <row r="19" spans="2:23">
      <c r="B19" s="180"/>
      <c r="C19" s="180"/>
      <c r="D19" s="180"/>
      <c r="E19" s="180"/>
      <c r="F19" s="180"/>
      <c r="G19" s="181"/>
      <c r="H19" s="180"/>
      <c r="I19" s="180"/>
      <c r="J19" s="180"/>
      <c r="K19" s="180"/>
      <c r="L19" s="181"/>
      <c r="M19" s="180"/>
      <c r="N19" s="180"/>
      <c r="O19" s="180"/>
      <c r="P19" s="180"/>
      <c r="Q19" s="181"/>
      <c r="R19" s="180"/>
      <c r="S19" s="180"/>
      <c r="T19" s="180"/>
      <c r="U19" s="180"/>
      <c r="V19" s="181"/>
      <c r="W19" s="303"/>
    </row>
    <row r="20" spans="2:23" ht="18.95">
      <c r="B20" s="182" t="s">
        <v>23</v>
      </c>
      <c r="C20" s="124"/>
      <c r="D20" s="109"/>
      <c r="E20" s="109"/>
      <c r="F20" s="137"/>
      <c r="G20" s="164"/>
      <c r="H20" s="148"/>
      <c r="I20" s="110"/>
      <c r="J20" s="110"/>
      <c r="K20" s="149"/>
      <c r="L20" s="164"/>
      <c r="M20" s="148"/>
      <c r="N20" s="110"/>
      <c r="O20" s="110"/>
      <c r="P20" s="149"/>
      <c r="Q20" s="164"/>
      <c r="R20" s="148"/>
      <c r="S20" s="110"/>
      <c r="T20" s="110"/>
      <c r="U20" s="149"/>
      <c r="V20" s="298"/>
      <c r="W20" s="303"/>
    </row>
    <row r="21" spans="2:23">
      <c r="B21" s="123" t="s">
        <v>24</v>
      </c>
      <c r="C21" s="118">
        <f>Норникель!C55</f>
        <v>468</v>
      </c>
      <c r="D21" s="104">
        <f>Норникель!D55</f>
        <v>846</v>
      </c>
      <c r="E21" s="104">
        <f>Норникель!E55</f>
        <v>764</v>
      </c>
      <c r="F21" s="133">
        <f>Норникель!F55</f>
        <v>1374</v>
      </c>
      <c r="G21" s="104"/>
      <c r="H21" s="118">
        <f>Vale!C50</f>
        <v>3914</v>
      </c>
      <c r="I21" s="104">
        <f>Vale!D50</f>
        <v>4319</v>
      </c>
      <c r="J21" s="104">
        <f>Vale!E50</f>
        <v>4197</v>
      </c>
      <c r="K21" s="133">
        <f>Vale!F50</f>
        <v>2358</v>
      </c>
      <c r="L21" s="104"/>
      <c r="M21" s="118">
        <f>'Anglo American Platinum'!I58</f>
        <v>542.31843575418998</v>
      </c>
      <c r="N21" s="104">
        <f>'Anglo American Platinum'!J58</f>
        <v>243.02397049784881</v>
      </c>
      <c r="O21" s="104">
        <f>'Anglo American Platinum'!K58</f>
        <v>202.81167108753314</v>
      </c>
      <c r="P21" s="133">
        <f>'Anglo American Platinum'!L58</f>
        <v>203.2985156679494</v>
      </c>
      <c r="Q21" s="104"/>
      <c r="R21" s="118">
        <f>'Impala Platinum'!I57</f>
        <v>510.33519553072625</v>
      </c>
      <c r="S21" s="104">
        <f>'Impala Platinum'!J57</f>
        <v>381.62261831591888</v>
      </c>
      <c r="T21" s="104">
        <f>'Impala Platinum'!K57</f>
        <v>600</v>
      </c>
      <c r="U21" s="133">
        <f>'Impala Platinum'!L57</f>
        <v>650.13743815283124</v>
      </c>
      <c r="V21" s="118"/>
      <c r="W21" s="303"/>
    </row>
    <row r="22" spans="2:23">
      <c r="B22" s="123" t="s">
        <v>25</v>
      </c>
      <c r="C22" s="118">
        <f>C21/1.2</f>
        <v>390</v>
      </c>
      <c r="D22" s="104">
        <f t="shared" ref="D22:F22" si="16">D21/1.2</f>
        <v>705</v>
      </c>
      <c r="E22" s="104">
        <f t="shared" si="16"/>
        <v>636.66666666666674</v>
      </c>
      <c r="F22" s="133">
        <f t="shared" si="16"/>
        <v>1145</v>
      </c>
      <c r="G22" s="104"/>
      <c r="H22" s="118">
        <f>H21/1.18</f>
        <v>3316.9491525423732</v>
      </c>
      <c r="I22" s="104">
        <f>I21/1.18</f>
        <v>3660.1694915254238</v>
      </c>
      <c r="J22" s="104">
        <f>J21/1.18</f>
        <v>3556.7796610169494</v>
      </c>
      <c r="K22" s="133">
        <f>K21/1.18</f>
        <v>1998.3050847457628</v>
      </c>
      <c r="L22" s="104"/>
      <c r="M22" s="118">
        <f t="shared" ref="M22:U22" si="17">M21/1.14</f>
        <v>475.71792610016666</v>
      </c>
      <c r="N22" s="104">
        <f t="shared" si="17"/>
        <v>213.17892148934106</v>
      </c>
      <c r="O22" s="104">
        <f t="shared" si="17"/>
        <v>177.90497463818699</v>
      </c>
      <c r="P22" s="133">
        <f t="shared" si="17"/>
        <v>178.33203128767494</v>
      </c>
      <c r="Q22" s="104"/>
      <c r="R22" s="118">
        <f t="shared" si="17"/>
        <v>447.66245221993535</v>
      </c>
      <c r="S22" s="104">
        <f t="shared" si="17"/>
        <v>334.75668273326221</v>
      </c>
      <c r="T22" s="104">
        <f t="shared" si="17"/>
        <v>526.31578947368428</v>
      </c>
      <c r="U22" s="133">
        <f t="shared" si="17"/>
        <v>570.29599837967658</v>
      </c>
      <c r="V22" s="118"/>
      <c r="W22" s="303"/>
    </row>
    <row r="23" spans="2:23">
      <c r="B23" s="123" t="s">
        <v>26</v>
      </c>
      <c r="C23" s="118">
        <f>C22</f>
        <v>390</v>
      </c>
      <c r="D23" s="104">
        <f>AVERAGE(C22:D22)</f>
        <v>547.5</v>
      </c>
      <c r="E23" s="104">
        <f>AVERAGE(D22:E22)</f>
        <v>670.83333333333337</v>
      </c>
      <c r="F23" s="133">
        <f t="shared" ref="F23" si="18">AVERAGE(E22:F22)</f>
        <v>890.83333333333337</v>
      </c>
      <c r="G23" s="104"/>
      <c r="H23" s="118">
        <f>H22</f>
        <v>3316.9491525423732</v>
      </c>
      <c r="I23" s="104">
        <f>AVERAGE(H22:I22)</f>
        <v>3488.5593220338988</v>
      </c>
      <c r="J23" s="104">
        <f>AVERAGE(I22:J22)</f>
        <v>3608.4745762711864</v>
      </c>
      <c r="K23" s="133">
        <f>AVERAGE(J22:K22)</f>
        <v>2777.5423728813562</v>
      </c>
      <c r="L23" s="104"/>
      <c r="M23" s="118">
        <f>M22</f>
        <v>475.71792610016666</v>
      </c>
      <c r="N23" s="104">
        <f>AVERAGE(M22:N22)</f>
        <v>344.44842379475386</v>
      </c>
      <c r="O23" s="104">
        <f>AVERAGE(N22:O22)</f>
        <v>195.54194806376404</v>
      </c>
      <c r="P23" s="133">
        <f>AVERAGE(O22:P22)</f>
        <v>178.11850296293096</v>
      </c>
      <c r="Q23" s="104"/>
      <c r="R23" s="118">
        <f>R22</f>
        <v>447.66245221993535</v>
      </c>
      <c r="S23" s="104">
        <f>AVERAGE(R22:S22)</f>
        <v>391.20956747659875</v>
      </c>
      <c r="T23" s="104">
        <f>AVERAGE(S22:T22)</f>
        <v>430.53623610347324</v>
      </c>
      <c r="U23" s="133">
        <f>AVERAGE(T22:U22)</f>
        <v>548.30589392668048</v>
      </c>
      <c r="V23" s="118"/>
      <c r="W23" s="303"/>
    </row>
    <row r="24" spans="2:23">
      <c r="B24" s="123" t="s">
        <v>27</v>
      </c>
      <c r="C24" s="118">
        <f>Норникель!C9</f>
        <v>17852</v>
      </c>
      <c r="D24" s="104">
        <f>Норникель!D9</f>
        <v>16876</v>
      </c>
      <c r="E24" s="104">
        <f>Норникель!E9</f>
        <v>14409</v>
      </c>
      <c r="F24" s="133">
        <f>Норникель!F9</f>
        <v>12535</v>
      </c>
      <c r="G24" s="104"/>
      <c r="H24" s="118">
        <f>Vale!C6</f>
        <v>54502</v>
      </c>
      <c r="I24" s="104">
        <f>Vale!D6</f>
        <v>43839</v>
      </c>
      <c r="J24" s="104">
        <f>Vale!E6</f>
        <v>41784</v>
      </c>
      <c r="K24" s="133">
        <f>Vale!F6</f>
        <v>38056</v>
      </c>
      <c r="L24" s="104"/>
      <c r="M24" s="118">
        <f>'Anglo American Platinum'!I8</f>
        <v>13932.987012987012</v>
      </c>
      <c r="N24" s="104">
        <f>'Anglo American Platinum'!J8</f>
        <v>10781.208935611037</v>
      </c>
      <c r="O24" s="104">
        <f>'Anglo American Platinum'!K8</f>
        <v>7010.8610016882385</v>
      </c>
      <c r="P24" s="133">
        <f>'Anglo American Platinum'!L8</f>
        <v>5825.0668091929447</v>
      </c>
      <c r="Q24" s="104"/>
      <c r="R24" s="118">
        <f>'Impala Platinum'!I6</f>
        <v>8413.9610389610389</v>
      </c>
      <c r="S24" s="104">
        <f>'Impala Platinum'!J6</f>
        <v>7774.7700394218127</v>
      </c>
      <c r="T24" s="104">
        <f>'Impala Platinum'!K6</f>
        <v>5998.5368598761961</v>
      </c>
      <c r="U24" s="133">
        <f>'Impala Platinum'!L6</f>
        <v>4617.7445216461783</v>
      </c>
      <c r="V24" s="118"/>
      <c r="W24" s="303"/>
    </row>
    <row r="25" spans="2:23" ht="15.95">
      <c r="B25" s="174" t="s">
        <v>28</v>
      </c>
      <c r="C25" s="158">
        <f>C23/C24*365</f>
        <v>7.9738964821868699</v>
      </c>
      <c r="D25" s="383">
        <f>D23/D24*365</f>
        <v>11.841520502488741</v>
      </c>
      <c r="E25" s="383">
        <f>E23/E24*365</f>
        <v>16.993140861035929</v>
      </c>
      <c r="F25" s="160">
        <f>F23/F24*365</f>
        <v>25.939702167264993</v>
      </c>
      <c r="G25" s="165"/>
      <c r="H25" s="158">
        <f>H23/H24*365</f>
        <v>22.213614925653484</v>
      </c>
      <c r="I25" s="383">
        <f>I23/I24*365</f>
        <v>29.04546528302135</v>
      </c>
      <c r="J25" s="383">
        <f>J23/J24*365</f>
        <v>31.521472820672578</v>
      </c>
      <c r="K25" s="160">
        <f>K23/K24*365</f>
        <v>26.63976681999409</v>
      </c>
      <c r="L25" s="166"/>
      <c r="M25" s="383">
        <f>M23/M24*365</f>
        <v>12.462298490963409</v>
      </c>
      <c r="N25" s="383">
        <f>N23/N24*365</f>
        <v>11.661370764257397</v>
      </c>
      <c r="O25" s="383">
        <f>O23/O24*365</f>
        <v>10.180320366654975</v>
      </c>
      <c r="P25" s="160">
        <f>P23/P24*365</f>
        <v>11.160945566987806</v>
      </c>
      <c r="Q25" s="166"/>
      <c r="R25" s="383">
        <f>R23/R24*365</f>
        <v>19.419723279400014</v>
      </c>
      <c r="S25" s="383">
        <f>S23/S24*365</f>
        <v>18.366008435611239</v>
      </c>
      <c r="T25" s="383">
        <f>T23/T24*365</f>
        <v>26.197342760182867</v>
      </c>
      <c r="U25" s="160">
        <f>U23/U24*365</f>
        <v>43.339697626211141</v>
      </c>
      <c r="V25" s="299"/>
      <c r="W25" s="303"/>
    </row>
    <row r="26" spans="2:23">
      <c r="B26" s="123" t="s">
        <v>29</v>
      </c>
      <c r="C26" s="118">
        <f>-Норникель!C10+Норникель!C11</f>
        <v>4304</v>
      </c>
      <c r="D26" s="104">
        <f>-Норникель!D10+Норникель!D11</f>
        <v>5293</v>
      </c>
      <c r="E26" s="104">
        <f>-Норникель!E10+Норникель!E11</f>
        <v>5656</v>
      </c>
      <c r="F26" s="133">
        <f>-Норникель!F10+Норникель!F11</f>
        <v>5576</v>
      </c>
      <c r="G26" s="104"/>
      <c r="H26" s="118">
        <f>-Vale!C7</f>
        <v>21729</v>
      </c>
      <c r="I26" s="104">
        <f>-Vale!D7</f>
        <v>24028</v>
      </c>
      <c r="J26" s="104">
        <f>-Vale!E7</f>
        <v>24089</v>
      </c>
      <c r="K26" s="133">
        <f>-Vale!F7</f>
        <v>24265</v>
      </c>
      <c r="L26" s="104"/>
      <c r="M26" s="118">
        <f>-'Anglo American Platinum'!I9</f>
        <v>7107.5324675324673</v>
      </c>
      <c r="N26" s="104">
        <f>-'Anglo American Platinum'!J9</f>
        <v>6148.357424441524</v>
      </c>
      <c r="O26" s="104">
        <f>-'Anglo American Platinum'!K9</f>
        <v>5828.3624085537422</v>
      </c>
      <c r="P26" s="133">
        <f>-'Anglo American Platinum'!L9</f>
        <v>4851.3629075360768</v>
      </c>
      <c r="Q26" s="104"/>
      <c r="R26" s="118">
        <f>-'Impala Platinum'!I7</f>
        <v>4942.8571428571431</v>
      </c>
      <c r="S26" s="104">
        <f>-'Impala Platinum'!J7</f>
        <v>5062.2207621550588</v>
      </c>
      <c r="T26" s="104">
        <f>-'Impala Platinum'!K7</f>
        <v>4741.4743950478332</v>
      </c>
      <c r="U26" s="133">
        <f>-'Impala Platinum'!L7</f>
        <v>4325.5478353821482</v>
      </c>
      <c r="V26" s="104"/>
      <c r="W26" s="303"/>
    </row>
    <row r="27" spans="2:23">
      <c r="B27" s="123" t="str">
        <f>Норникель!B54</f>
        <v>Запасы</v>
      </c>
      <c r="C27" s="118">
        <f>Норникель!C54</f>
        <v>3026</v>
      </c>
      <c r="D27" s="104">
        <f>Норникель!D54</f>
        <v>4945</v>
      </c>
      <c r="E27" s="104">
        <f>Норникель!E54</f>
        <v>3817</v>
      </c>
      <c r="F27" s="133">
        <f>Норникель!F54</f>
        <v>3114</v>
      </c>
      <c r="G27" s="104"/>
      <c r="H27" s="118">
        <f>Vale!C52</f>
        <v>4377</v>
      </c>
      <c r="I27" s="104">
        <f>Vale!D52</f>
        <v>4482</v>
      </c>
      <c r="J27" s="104">
        <f>Vale!E52</f>
        <v>4684</v>
      </c>
      <c r="K27" s="133">
        <f>Vale!F52</f>
        <v>4605</v>
      </c>
      <c r="L27" s="104"/>
      <c r="M27" s="118">
        <f>'Anglo American Platinum'!I57</f>
        <v>3595.18156424581</v>
      </c>
      <c r="N27" s="104">
        <f>'Anglo American Platinum'!J57</f>
        <v>1818.8690842040567</v>
      </c>
      <c r="O27" s="104">
        <f>'Anglo American Platinum'!K57</f>
        <v>1291.9363395225464</v>
      </c>
      <c r="P27" s="133">
        <f>'Anglo American Platinum'!L57</f>
        <v>1361.1324903793293</v>
      </c>
      <c r="Q27" s="104"/>
      <c r="R27" s="118">
        <f>'Impala Platinum'!I56</f>
        <v>1585.963687150838</v>
      </c>
      <c r="S27" s="104">
        <f>'Impala Platinum'!J56</f>
        <v>1468.8998156115551</v>
      </c>
      <c r="T27" s="104">
        <f>'Impala Platinum'!K56</f>
        <v>1290.1856763925728</v>
      </c>
      <c r="U27" s="133">
        <f>'Impala Platinum'!L56</f>
        <v>1461.1324903793293</v>
      </c>
      <c r="V27" s="118"/>
      <c r="W27" s="303"/>
    </row>
    <row r="28" spans="2:23">
      <c r="B28" s="123" t="s">
        <v>30</v>
      </c>
      <c r="C28" s="118">
        <f>C27</f>
        <v>3026</v>
      </c>
      <c r="D28" s="104">
        <f>AVERAGE(C27:D27)</f>
        <v>3985.5</v>
      </c>
      <c r="E28" s="104">
        <f t="shared" ref="E28:F28" si="19">AVERAGE(D27:E27)</f>
        <v>4381</v>
      </c>
      <c r="F28" s="133">
        <f t="shared" si="19"/>
        <v>3465.5</v>
      </c>
      <c r="G28" s="104"/>
      <c r="H28" s="118">
        <f>H27</f>
        <v>4377</v>
      </c>
      <c r="I28" s="104">
        <f t="shared" ref="I28" si="20">AVERAGE(H27:I27)</f>
        <v>4429.5</v>
      </c>
      <c r="J28" s="104">
        <f t="shared" ref="J28" si="21">AVERAGE(I27:J27)</f>
        <v>4583</v>
      </c>
      <c r="K28" s="133">
        <f t="shared" ref="K28" si="22">AVERAGE(J27:K27)</f>
        <v>4644.5</v>
      </c>
      <c r="L28" s="104"/>
      <c r="M28" s="118">
        <f>M27</f>
        <v>3595.18156424581</v>
      </c>
      <c r="N28" s="104">
        <f t="shared" ref="N28" si="23">AVERAGE(M27:N27)</f>
        <v>2707.0253242249332</v>
      </c>
      <c r="O28" s="104">
        <f t="shared" ref="O28" si="24">AVERAGE(N27:O27)</f>
        <v>1555.4027118633016</v>
      </c>
      <c r="P28" s="133">
        <f t="shared" ref="P28" si="25">AVERAGE(O27:P27)</f>
        <v>1326.5344149509378</v>
      </c>
      <c r="Q28" s="104"/>
      <c r="R28" s="118">
        <f>R27</f>
        <v>1585.963687150838</v>
      </c>
      <c r="S28" s="105">
        <f t="shared" ref="S28" si="26">AVERAGE(R27:S27)</f>
        <v>1527.4317513811966</v>
      </c>
      <c r="T28" s="105">
        <f t="shared" ref="T28" si="27">AVERAGE(S27:T27)</f>
        <v>1379.542746002064</v>
      </c>
      <c r="U28" s="133">
        <f t="shared" ref="U28" si="28">AVERAGE(T27:U27)</f>
        <v>1375.6590833859509</v>
      </c>
      <c r="V28" s="118"/>
      <c r="W28" s="303"/>
    </row>
    <row r="29" spans="2:23" ht="15.95">
      <c r="B29" s="174" t="s">
        <v>31</v>
      </c>
      <c r="C29" s="384">
        <f>C26/C28</f>
        <v>1.4223397224058163</v>
      </c>
      <c r="D29" s="97">
        <f>D26/D28</f>
        <v>1.3280642328440597</v>
      </c>
      <c r="E29" s="97">
        <f t="shared" ref="E29:U29" si="29">E26/E28</f>
        <v>1.2910294453321161</v>
      </c>
      <c r="F29" s="138">
        <f t="shared" si="29"/>
        <v>1.6090030298658202</v>
      </c>
      <c r="G29" s="166"/>
      <c r="H29" s="125">
        <f>H26/H28</f>
        <v>4.9643591501028101</v>
      </c>
      <c r="I29" s="97">
        <f t="shared" si="29"/>
        <v>5.4245400158031378</v>
      </c>
      <c r="J29" s="97">
        <f t="shared" si="29"/>
        <v>5.2561640846607025</v>
      </c>
      <c r="K29" s="138">
        <f t="shared" si="29"/>
        <v>5.2244590375713207</v>
      </c>
      <c r="L29" s="166"/>
      <c r="M29" s="125">
        <f>M26/M28</f>
        <v>1.9769606459426399</v>
      </c>
      <c r="N29" s="97">
        <f t="shared" si="29"/>
        <v>2.2712596625603796</v>
      </c>
      <c r="O29" s="97">
        <f t="shared" si="29"/>
        <v>3.7471725901593866</v>
      </c>
      <c r="P29" s="138">
        <f t="shared" si="29"/>
        <v>3.6571707849098702</v>
      </c>
      <c r="Q29" s="166"/>
      <c r="R29" s="125">
        <f>R26/R28</f>
        <v>3.116626933455783</v>
      </c>
      <c r="S29" s="384">
        <f t="shared" si="29"/>
        <v>3.3142042239055796</v>
      </c>
      <c r="T29" s="384">
        <f t="shared" si="29"/>
        <v>3.4369898350657846</v>
      </c>
      <c r="U29" s="150">
        <f t="shared" si="29"/>
        <v>3.1443457813221776</v>
      </c>
      <c r="V29" s="299"/>
      <c r="W29" s="303"/>
    </row>
    <row r="30" spans="2:23" ht="15.95">
      <c r="B30" s="174" t="s">
        <v>32</v>
      </c>
      <c r="C30" s="383">
        <f>365/C29</f>
        <v>256.61942379182153</v>
      </c>
      <c r="D30" s="108">
        <f>365/D29</f>
        <v>274.83610428868315</v>
      </c>
      <c r="E30" s="108">
        <f t="shared" ref="E30:U30" si="30">365/E29</f>
        <v>282.72012022630832</v>
      </c>
      <c r="F30" s="139">
        <f t="shared" si="30"/>
        <v>226.84854734576757</v>
      </c>
      <c r="G30" s="166"/>
      <c r="H30" s="158">
        <f>365/H29</f>
        <v>73.524092226977771</v>
      </c>
      <c r="I30" s="108">
        <f t="shared" si="30"/>
        <v>67.286811220243052</v>
      </c>
      <c r="J30" s="108">
        <f t="shared" si="30"/>
        <v>69.442276557764956</v>
      </c>
      <c r="K30" s="139">
        <f t="shared" si="30"/>
        <v>69.863692561302287</v>
      </c>
      <c r="L30" s="166"/>
      <c r="M30" s="158">
        <f>365/M29</f>
        <v>184.62684158589479</v>
      </c>
      <c r="N30" s="108">
        <f t="shared" si="30"/>
        <v>160.70377421687547</v>
      </c>
      <c r="O30" s="108">
        <f t="shared" si="30"/>
        <v>97.406775700308657</v>
      </c>
      <c r="P30" s="139">
        <f t="shared" si="30"/>
        <v>99.80392534744459</v>
      </c>
      <c r="Q30" s="166"/>
      <c r="R30" s="158">
        <f>365/R29</f>
        <v>117.11379250492459</v>
      </c>
      <c r="S30" s="108">
        <f t="shared" si="30"/>
        <v>110.13201822845745</v>
      </c>
      <c r="T30" s="108">
        <f t="shared" si="30"/>
        <v>106.19757913628331</v>
      </c>
      <c r="U30" s="139">
        <f t="shared" si="30"/>
        <v>116.08138079728617</v>
      </c>
      <c r="V30" s="299"/>
      <c r="W30" s="303" t="s">
        <v>33</v>
      </c>
    </row>
    <row r="31" spans="2:23">
      <c r="B31" s="123" t="s">
        <v>34</v>
      </c>
      <c r="C31" s="118">
        <f>Норникель!C89</f>
        <v>2224</v>
      </c>
      <c r="D31" s="104">
        <f>Норникель!D89</f>
        <v>1381</v>
      </c>
      <c r="E31" s="104">
        <f>Норникель!E89</f>
        <v>1273</v>
      </c>
      <c r="F31" s="133">
        <f>Норникель!F89</f>
        <v>1209</v>
      </c>
      <c r="G31" s="104"/>
      <c r="H31" s="118">
        <f>Vale!C74+Vale!C77</f>
        <v>5787</v>
      </c>
      <c r="I31" s="104">
        <f>Vale!D74+Vale!D77</f>
        <v>6133</v>
      </c>
      <c r="J31" s="104">
        <f>Vale!E74+Vale!E77</f>
        <v>6948</v>
      </c>
      <c r="K31" s="133">
        <f>Vale!F74+Vale!F77</f>
        <v>5777</v>
      </c>
      <c r="L31" s="104"/>
      <c r="M31" s="118">
        <f>'Anglo American Platinum'!I82</f>
        <v>1753.4916201117319</v>
      </c>
      <c r="N31" s="104">
        <f>'Anglo American Platinum'!J82</f>
        <v>1645.1751690227413</v>
      </c>
      <c r="O31" s="104">
        <f>'Anglo American Platinum'!K82</f>
        <v>1301.8567639257294</v>
      </c>
      <c r="P31" s="133">
        <f>'Anglo American Platinum'!L82</f>
        <v>1288.5101704233093</v>
      </c>
      <c r="Q31" s="104"/>
      <c r="R31" s="118">
        <f>'Impala Platinum'!I83</f>
        <v>1130.5865921787708</v>
      </c>
      <c r="S31" s="104">
        <f>'Impala Platinum'!J83</f>
        <v>948.24830977258762</v>
      </c>
      <c r="T31" s="104">
        <f>'Impala Platinum'!K83</f>
        <v>850.98143236074259</v>
      </c>
      <c r="U31" s="133">
        <f>'Impala Platinum'!L83</f>
        <v>813.52391423859262</v>
      </c>
      <c r="V31" s="118"/>
      <c r="W31" s="303"/>
    </row>
    <row r="32" spans="2:23">
      <c r="B32" s="123" t="s">
        <v>35</v>
      </c>
      <c r="C32" s="118">
        <f>-Норникель!C10</f>
        <v>5057</v>
      </c>
      <c r="D32" s="104">
        <f>-Норникель!D10</f>
        <v>6103</v>
      </c>
      <c r="E32" s="104">
        <f>-Норникель!E10</f>
        <v>6344</v>
      </c>
      <c r="F32" s="133">
        <f>-Норникель!F10</f>
        <v>6232</v>
      </c>
      <c r="G32" s="104"/>
      <c r="H32" s="118">
        <f>-Vale!C7</f>
        <v>21729</v>
      </c>
      <c r="I32" s="104">
        <f>-Vale!D7</f>
        <v>24028</v>
      </c>
      <c r="J32" s="104">
        <f>-Vale!E7</f>
        <v>24089</v>
      </c>
      <c r="K32" s="133">
        <f>-Vale!F7</f>
        <v>24265</v>
      </c>
      <c r="L32" s="104"/>
      <c r="M32" s="118">
        <f>-'Anglo American Platinum'!I9</f>
        <v>7107.5324675324673</v>
      </c>
      <c r="N32" s="104">
        <f>-'Anglo American Platinum'!J9</f>
        <v>6148.357424441524</v>
      </c>
      <c r="O32" s="104">
        <f>-'Anglo American Platinum'!K9</f>
        <v>5828.3624085537422</v>
      </c>
      <c r="P32" s="133">
        <f>-'Anglo American Platinum'!L9</f>
        <v>4851.3629075360768</v>
      </c>
      <c r="Q32" s="104"/>
      <c r="R32" s="118">
        <f>-'Impala Platinum'!I7</f>
        <v>4942.8571428571431</v>
      </c>
      <c r="S32" s="104">
        <f>-'Impala Platinum'!J7</f>
        <v>5062.2207621550588</v>
      </c>
      <c r="T32" s="104">
        <f>-'Impala Platinum'!K7</f>
        <v>4741.4743950478332</v>
      </c>
      <c r="U32" s="133">
        <f>-'Impala Platinum'!L7</f>
        <v>4325.5478353821482</v>
      </c>
      <c r="V32" s="104"/>
      <c r="W32" s="303"/>
    </row>
    <row r="33" spans="2:23" ht="15.95">
      <c r="B33" s="174" t="s">
        <v>36</v>
      </c>
      <c r="C33" s="158">
        <f t="shared" ref="C33:F33" si="31">C31/C32*365</f>
        <v>160.52204864544197</v>
      </c>
      <c r="D33" s="159">
        <f t="shared" si="31"/>
        <v>82.592987055546445</v>
      </c>
      <c r="E33" s="159">
        <f t="shared" si="31"/>
        <v>73.241645649432527</v>
      </c>
      <c r="F33" s="160">
        <f t="shared" si="31"/>
        <v>70.809531450577666</v>
      </c>
      <c r="G33" s="166"/>
      <c r="H33" s="158">
        <f t="shared" ref="H33:U33" si="32">H31/H32*365</f>
        <v>97.20902940770398</v>
      </c>
      <c r="I33" s="159">
        <f t="shared" si="32"/>
        <v>93.164016980189785</v>
      </c>
      <c r="J33" s="159">
        <f t="shared" si="32"/>
        <v>105.2770974303624</v>
      </c>
      <c r="K33" s="160">
        <f t="shared" si="32"/>
        <v>86.899031526890582</v>
      </c>
      <c r="L33" s="166"/>
      <c r="M33" s="158">
        <f t="shared" si="32"/>
        <v>90.048753806534549</v>
      </c>
      <c r="N33" s="159">
        <f t="shared" si="32"/>
        <v>97.666562829639815</v>
      </c>
      <c r="O33" s="159">
        <f t="shared" si="32"/>
        <v>81.528512732069885</v>
      </c>
      <c r="P33" s="160">
        <f t="shared" si="32"/>
        <v>96.943110867656827</v>
      </c>
      <c r="Q33" s="166"/>
      <c r="R33" s="158">
        <f t="shared" si="32"/>
        <v>83.486957890657791</v>
      </c>
      <c r="S33" s="159">
        <f t="shared" si="32"/>
        <v>68.371303688393539</v>
      </c>
      <c r="T33" s="159">
        <f t="shared" si="32"/>
        <v>65.508784173986356</v>
      </c>
      <c r="U33" s="160">
        <f t="shared" si="32"/>
        <v>68.647080091960873</v>
      </c>
      <c r="V33" s="299"/>
      <c r="W33" s="303"/>
    </row>
    <row r="34" spans="2:23" ht="15.95">
      <c r="B34" s="174" t="s">
        <v>37</v>
      </c>
      <c r="C34" s="158">
        <f>C25+C30-C33</f>
        <v>104.07127162856645</v>
      </c>
      <c r="D34" s="383">
        <f>D25+D30-D33</f>
        <v>204.08463773562542</v>
      </c>
      <c r="E34" s="383">
        <f>E25+E30-E33</f>
        <v>226.47161543791174</v>
      </c>
      <c r="F34" s="160">
        <f>F25+F30-F33</f>
        <v>181.9787180624549</v>
      </c>
      <c r="G34" s="166"/>
      <c r="H34" s="158">
        <f>H25+H30-H33</f>
        <v>-1.471322255072721</v>
      </c>
      <c r="I34" s="383">
        <f>I25+I30-I33</f>
        <v>3.1682595230746244</v>
      </c>
      <c r="J34" s="383">
        <f>J25+J30-J33</f>
        <v>-4.3133480519248621</v>
      </c>
      <c r="K34" s="160">
        <f>K25+K30-K33</f>
        <v>9.6044278544057988</v>
      </c>
      <c r="L34" s="166"/>
      <c r="M34" s="158">
        <f>M25+M30-M33</f>
        <v>107.04038627032365</v>
      </c>
      <c r="N34" s="159">
        <f>N25+N30-N33</f>
        <v>74.698582151493042</v>
      </c>
      <c r="O34" s="159">
        <f>O25+O30-O33</f>
        <v>26.05858333489374</v>
      </c>
      <c r="P34" s="160">
        <f>P25+P30-P33</f>
        <v>14.021760046775569</v>
      </c>
      <c r="Q34" s="166"/>
      <c r="R34" s="158">
        <f>R25+R30-R33</f>
        <v>53.046557893666815</v>
      </c>
      <c r="S34" s="159">
        <f>S25+S30-S33</f>
        <v>60.126722975675165</v>
      </c>
      <c r="T34" s="159">
        <f>T25+T30-T33</f>
        <v>66.886137722479816</v>
      </c>
      <c r="U34" s="160">
        <f>U25+U30-U33</f>
        <v>90.773998331536433</v>
      </c>
      <c r="V34" s="299"/>
      <c r="W34" s="303" t="s">
        <v>33</v>
      </c>
    </row>
    <row r="35" spans="2:23">
      <c r="B35" s="180"/>
      <c r="C35" s="180"/>
      <c r="D35" s="180"/>
      <c r="E35" s="180"/>
      <c r="F35" s="180"/>
      <c r="G35" s="181"/>
      <c r="H35" s="180"/>
      <c r="I35" s="180"/>
      <c r="J35" s="180"/>
      <c r="K35" s="180"/>
      <c r="L35" s="181"/>
      <c r="M35" s="180"/>
      <c r="N35" s="180"/>
      <c r="O35" s="180"/>
      <c r="P35" s="180"/>
      <c r="Q35" s="181"/>
      <c r="R35" s="180"/>
      <c r="S35" s="180"/>
      <c r="T35" s="180"/>
      <c r="U35" s="180"/>
      <c r="V35" s="181"/>
      <c r="W35" s="303"/>
    </row>
    <row r="36" spans="2:23" ht="18.95">
      <c r="B36" s="179" t="s">
        <v>38</v>
      </c>
      <c r="C36" s="126"/>
      <c r="D36" s="111"/>
      <c r="E36" s="111"/>
      <c r="F36" s="140"/>
      <c r="G36" s="167"/>
      <c r="H36" s="151"/>
      <c r="I36" s="112"/>
      <c r="J36" s="112"/>
      <c r="K36" s="152"/>
      <c r="L36" s="167"/>
      <c r="M36" s="151"/>
      <c r="N36" s="112"/>
      <c r="O36" s="112"/>
      <c r="P36" s="152"/>
      <c r="Q36" s="167"/>
      <c r="R36" s="151"/>
      <c r="S36" s="112"/>
      <c r="T36" s="112"/>
      <c r="U36" s="152"/>
      <c r="V36" s="300"/>
      <c r="W36" s="303" t="s">
        <v>39</v>
      </c>
    </row>
    <row r="37" spans="2:23">
      <c r="B37" s="123" t="s">
        <v>40</v>
      </c>
      <c r="C37" s="118">
        <f>Норникель!C17</f>
        <v>9536</v>
      </c>
      <c r="D37" s="105">
        <f>Норникель!D17</f>
        <v>7581</v>
      </c>
      <c r="E37" s="105">
        <f>Норникель!E17</f>
        <v>5540</v>
      </c>
      <c r="F37" s="133">
        <f>Норникель!F17</f>
        <v>3574</v>
      </c>
      <c r="G37" s="104"/>
      <c r="H37" s="118">
        <f>Vale!C14</f>
        <v>27693</v>
      </c>
      <c r="I37" s="105">
        <f>Vale!D14</f>
        <v>17208</v>
      </c>
      <c r="J37" s="105">
        <f>Vale!E14</f>
        <v>14205</v>
      </c>
      <c r="K37" s="133">
        <f>Vale!F14</f>
        <v>10788</v>
      </c>
      <c r="L37" s="104"/>
      <c r="M37" s="118">
        <f>'Anglo American Platinum'!I10</f>
        <v>6825.454545454545</v>
      </c>
      <c r="N37" s="105">
        <f>'Anglo American Platinum'!J10</f>
        <v>4632.8515111695133</v>
      </c>
      <c r="O37" s="105">
        <f>'Anglo American Platinum'!K10</f>
        <v>1182.4985931344963</v>
      </c>
      <c r="P37" s="133">
        <f>'Anglo American Platinum'!L10</f>
        <v>973.70390165686797</v>
      </c>
      <c r="Q37" s="104"/>
      <c r="R37" s="118">
        <f>'Impala Platinum'!I8</f>
        <v>3471.1038961038962</v>
      </c>
      <c r="S37" s="105">
        <f>'Impala Platinum'!J8</f>
        <v>2712.549277266754</v>
      </c>
      <c r="T37" s="105">
        <f>'Impala Platinum'!K8</f>
        <v>1257.0624648283624</v>
      </c>
      <c r="U37" s="133">
        <f>'Impala Platinum'!L8</f>
        <v>292.19668626402989</v>
      </c>
      <c r="V37" s="118"/>
      <c r="W37" s="303"/>
    </row>
    <row r="38" spans="2:23">
      <c r="B38" s="123" t="s">
        <v>41</v>
      </c>
      <c r="C38" s="118">
        <f>Норникель!C64</f>
        <v>23435</v>
      </c>
      <c r="D38" s="104">
        <f>Норникель!D64</f>
        <v>25795</v>
      </c>
      <c r="E38" s="104">
        <f>Норникель!E64</f>
        <v>23580</v>
      </c>
      <c r="F38" s="133">
        <f>Норникель!F64</f>
        <v>23170</v>
      </c>
      <c r="G38" s="104"/>
      <c r="H38" s="118">
        <f>Vale!C71</f>
        <v>89442</v>
      </c>
      <c r="I38" s="104">
        <f>Vale!D71</f>
        <v>86894</v>
      </c>
      <c r="J38" s="104">
        <f>Vale!E71</f>
        <v>94186</v>
      </c>
      <c r="K38" s="133">
        <f>Vale!F71</f>
        <v>80152</v>
      </c>
      <c r="L38" s="104"/>
      <c r="M38" s="118">
        <f>'Anglo American Platinum'!I63</f>
        <v>12580.237430167597</v>
      </c>
      <c r="N38" s="104">
        <f>'Anglo American Platinum'!J63</f>
        <v>10873.632452366319</v>
      </c>
      <c r="O38" s="104">
        <f>'Anglo American Platinum'!K63</f>
        <v>8976.9230769230762</v>
      </c>
      <c r="P38" s="133">
        <f>'Anglo American Platinum'!L63</f>
        <v>9397.6360637713024</v>
      </c>
      <c r="Q38" s="104"/>
      <c r="R38" s="118">
        <f>'Impala Platinum'!I63</f>
        <v>8832.0530726256984</v>
      </c>
      <c r="S38" s="104">
        <f>'Impala Platinum'!J63</f>
        <v>9593.5464044253222</v>
      </c>
      <c r="T38" s="104">
        <f>'Impala Platinum'!K63</f>
        <v>8985.9946949602108</v>
      </c>
      <c r="U38" s="133">
        <f>'Impala Platinum'!L63</f>
        <v>7309.2358438702577</v>
      </c>
      <c r="V38" s="118"/>
      <c r="W38" s="303"/>
    </row>
    <row r="39" spans="2:23">
      <c r="B39" s="123" t="s">
        <v>16</v>
      </c>
      <c r="C39" s="118">
        <f>Норникель!C98</f>
        <v>8083</v>
      </c>
      <c r="D39" s="104">
        <f>Норникель!D98</f>
        <v>7689</v>
      </c>
      <c r="E39" s="104">
        <f>Норникель!E98</f>
        <v>8831</v>
      </c>
      <c r="F39" s="133">
        <f>Норникель!F98</f>
        <v>5919</v>
      </c>
      <c r="G39" s="104"/>
      <c r="H39" s="118">
        <f>Vale!C89</f>
        <v>15198</v>
      </c>
      <c r="I39" s="104">
        <f>Vale!D89</f>
        <v>13891</v>
      </c>
      <c r="J39" s="104">
        <f>Vale!E89</f>
        <v>14655</v>
      </c>
      <c r="K39" s="133">
        <f>Vale!F89</f>
        <v>1309</v>
      </c>
      <c r="L39" s="104"/>
      <c r="M39" s="118">
        <f>'Anglo American Platinum'!I81</f>
        <v>3943.2960893854747</v>
      </c>
      <c r="N39" s="104">
        <f>'Anglo American Platinum'!J81</f>
        <v>3568.3466502765827</v>
      </c>
      <c r="O39" s="104">
        <f>'Anglo American Platinum'!K81</f>
        <v>2490.132625994695</v>
      </c>
      <c r="P39" s="133">
        <f>'Anglo American Platinum'!L81</f>
        <v>2479.4392523364486</v>
      </c>
      <c r="Q39" s="104"/>
      <c r="R39" s="118">
        <f>'Impala Platinum'!I90</f>
        <v>1242.5279329608938</v>
      </c>
      <c r="S39" s="104">
        <f>'Impala Platinum'!J90</f>
        <v>1019.4837123540259</v>
      </c>
      <c r="T39" s="104">
        <f>'Impala Platinum'!K90</f>
        <v>937.50663129973464</v>
      </c>
      <c r="U39" s="133">
        <f>'Impala Platinum'!L90</f>
        <v>926.00329851566789</v>
      </c>
      <c r="V39" s="118"/>
      <c r="W39" s="303"/>
    </row>
    <row r="40" spans="2:23">
      <c r="B40" s="123" t="s">
        <v>42</v>
      </c>
      <c r="C40" s="118">
        <f>C38-C39</f>
        <v>15352</v>
      </c>
      <c r="D40" s="104">
        <f t="shared" ref="D40:U40" si="33">D38-D39</f>
        <v>18106</v>
      </c>
      <c r="E40" s="104">
        <f t="shared" si="33"/>
        <v>14749</v>
      </c>
      <c r="F40" s="133">
        <f t="shared" si="33"/>
        <v>17251</v>
      </c>
      <c r="G40" s="104"/>
      <c r="H40" s="118">
        <f t="shared" si="33"/>
        <v>74244</v>
      </c>
      <c r="I40" s="104">
        <f t="shared" si="33"/>
        <v>73003</v>
      </c>
      <c r="J40" s="104">
        <f t="shared" si="33"/>
        <v>79531</v>
      </c>
      <c r="K40" s="133">
        <f t="shared" si="33"/>
        <v>78843</v>
      </c>
      <c r="L40" s="104"/>
      <c r="M40" s="118">
        <f t="shared" si="33"/>
        <v>8636.941340782123</v>
      </c>
      <c r="N40" s="104">
        <f t="shared" si="33"/>
        <v>7305.2858020897365</v>
      </c>
      <c r="O40" s="104">
        <f t="shared" si="33"/>
        <v>6486.7904509283817</v>
      </c>
      <c r="P40" s="133">
        <f t="shared" si="33"/>
        <v>6918.1968114348538</v>
      </c>
      <c r="Q40" s="104"/>
      <c r="R40" s="118">
        <f t="shared" si="33"/>
        <v>7589.5251396648046</v>
      </c>
      <c r="S40" s="104">
        <f t="shared" si="33"/>
        <v>8574.0626920712966</v>
      </c>
      <c r="T40" s="104">
        <f t="shared" si="33"/>
        <v>8048.4880636604757</v>
      </c>
      <c r="U40" s="133">
        <f t="shared" si="33"/>
        <v>6383.23254535459</v>
      </c>
      <c r="V40" s="118"/>
      <c r="W40" s="303"/>
    </row>
    <row r="41" spans="2:23" ht="15.95">
      <c r="B41" s="175" t="s">
        <v>43</v>
      </c>
      <c r="C41" s="127">
        <f>C37/C40</f>
        <v>0.62115685252735797</v>
      </c>
      <c r="D41" s="99">
        <f t="shared" ref="D41:U41" si="34">D37/D40</f>
        <v>0.41870098309952503</v>
      </c>
      <c r="E41" s="99">
        <f t="shared" si="34"/>
        <v>0.375618686012611</v>
      </c>
      <c r="F41" s="141">
        <f t="shared" si="34"/>
        <v>0.20717639557127124</v>
      </c>
      <c r="G41" s="168"/>
      <c r="H41" s="127">
        <f t="shared" si="34"/>
        <v>0.37299983837077744</v>
      </c>
      <c r="I41" s="99">
        <f t="shared" si="34"/>
        <v>0.23571634042436612</v>
      </c>
      <c r="J41" s="99">
        <f t="shared" si="34"/>
        <v>0.17860959877280558</v>
      </c>
      <c r="K41" s="141">
        <f t="shared" si="34"/>
        <v>0.13682888778965793</v>
      </c>
      <c r="L41" s="168"/>
      <c r="M41" s="127">
        <f t="shared" si="34"/>
        <v>0.79026292713439483</v>
      </c>
      <c r="N41" s="99">
        <f t="shared" si="34"/>
        <v>0.63417799613592785</v>
      </c>
      <c r="O41" s="99">
        <f t="shared" si="34"/>
        <v>0.18229332396042769</v>
      </c>
      <c r="P41" s="141">
        <f t="shared" si="34"/>
        <v>0.14074533121802282</v>
      </c>
      <c r="Q41" s="168"/>
      <c r="R41" s="127">
        <f t="shared" si="34"/>
        <v>0.45735455542047249</v>
      </c>
      <c r="S41" s="99">
        <f t="shared" si="34"/>
        <v>0.31636685835935546</v>
      </c>
      <c r="T41" s="99">
        <f t="shared" si="34"/>
        <v>0.15618616252959278</v>
      </c>
      <c r="U41" s="141">
        <f t="shared" si="34"/>
        <v>4.577566055879894E-2</v>
      </c>
      <c r="V41" s="301"/>
      <c r="W41" s="303"/>
    </row>
    <row r="42" spans="2:23">
      <c r="B42" s="123" t="str">
        <f>Норникель!B12</f>
        <v>Валовая прибыль</v>
      </c>
      <c r="C42" s="118">
        <f>Норникель!C12</f>
        <v>12042</v>
      </c>
      <c r="D42" s="104">
        <f>Норникель!D12</f>
        <v>9963</v>
      </c>
      <c r="E42" s="104">
        <f>Норникель!E12</f>
        <v>7377</v>
      </c>
      <c r="F42" s="133">
        <f>Норникель!F12</f>
        <v>5647</v>
      </c>
      <c r="G42" s="104"/>
      <c r="H42" s="118">
        <f>Vale!C8</f>
        <v>32773</v>
      </c>
      <c r="I42" s="104">
        <f>Vale!D8</f>
        <v>19811</v>
      </c>
      <c r="J42" s="104">
        <f>Vale!E8</f>
        <v>17695</v>
      </c>
      <c r="K42" s="133">
        <f>Vale!F8</f>
        <v>13791</v>
      </c>
      <c r="L42" s="104"/>
      <c r="M42" s="118">
        <f>'Anglo American Platinum'!I10</f>
        <v>6825.454545454545</v>
      </c>
      <c r="N42" s="104">
        <f>'Anglo American Platinum'!J10</f>
        <v>4632.8515111695133</v>
      </c>
      <c r="O42" s="104">
        <f>'Anglo American Platinum'!K10</f>
        <v>1182.4985931344963</v>
      </c>
      <c r="P42" s="133">
        <f>'Anglo American Platinum'!L10</f>
        <v>973.70390165686797</v>
      </c>
      <c r="Q42" s="104"/>
      <c r="R42" s="118">
        <f>'Impala Platinum'!I8</f>
        <v>3471.1038961038962</v>
      </c>
      <c r="S42" s="104">
        <f>'Impala Platinum'!J8</f>
        <v>2712.549277266754</v>
      </c>
      <c r="T42" s="104">
        <f>'Impala Platinum'!K8</f>
        <v>1257.0624648283624</v>
      </c>
      <c r="U42" s="133">
        <f>'Impala Platinum'!L8</f>
        <v>292.19668626402989</v>
      </c>
      <c r="V42" s="118"/>
      <c r="W42" s="303"/>
    </row>
    <row r="43" spans="2:23">
      <c r="B43" s="123" t="s">
        <v>27</v>
      </c>
      <c r="C43" s="118">
        <f>Норникель!C9</f>
        <v>17852</v>
      </c>
      <c r="D43" s="104">
        <f>Норникель!D9</f>
        <v>16876</v>
      </c>
      <c r="E43" s="104">
        <f>Норникель!E9</f>
        <v>14409</v>
      </c>
      <c r="F43" s="133">
        <f>Норникель!F9</f>
        <v>12535</v>
      </c>
      <c r="G43" s="104"/>
      <c r="H43" s="118">
        <f>Vale!C6</f>
        <v>54502</v>
      </c>
      <c r="I43" s="104">
        <f>Vale!D6</f>
        <v>43839</v>
      </c>
      <c r="J43" s="104">
        <f>Vale!E6</f>
        <v>41784</v>
      </c>
      <c r="K43" s="133">
        <f>Vale!F6</f>
        <v>38056</v>
      </c>
      <c r="L43" s="104"/>
      <c r="M43" s="118">
        <f>'Anglo American Platinum'!I8</f>
        <v>13932.987012987012</v>
      </c>
      <c r="N43" s="104">
        <f>'Anglo American Platinum'!J8</f>
        <v>10781.208935611037</v>
      </c>
      <c r="O43" s="104">
        <f>'Anglo American Platinum'!K8</f>
        <v>7010.8610016882385</v>
      </c>
      <c r="P43" s="133">
        <f>'Anglo American Platinum'!L8</f>
        <v>5825.0668091929447</v>
      </c>
      <c r="Q43" s="104"/>
      <c r="R43" s="118">
        <f>'Impala Platinum'!I6</f>
        <v>8413.9610389610389</v>
      </c>
      <c r="S43" s="104">
        <f>'Impala Platinum'!J6</f>
        <v>7774.7700394218127</v>
      </c>
      <c r="T43" s="104">
        <f>'Impala Platinum'!K6</f>
        <v>5998.5368598761961</v>
      </c>
      <c r="U43" s="133">
        <f>'Impala Platinum'!L6</f>
        <v>4617.7445216461783</v>
      </c>
      <c r="V43" s="118"/>
      <c r="W43" s="303"/>
    </row>
    <row r="44" spans="2:23" ht="15.95">
      <c r="B44" s="175" t="s">
        <v>44</v>
      </c>
      <c r="C44" s="127">
        <f>C42/C43</f>
        <v>0.67454626932556572</v>
      </c>
      <c r="D44" s="99">
        <f t="shared" ref="D44:U44" si="35">D42/D43</f>
        <v>0.59036501540649444</v>
      </c>
      <c r="E44" s="99">
        <f t="shared" si="35"/>
        <v>0.51197168436393925</v>
      </c>
      <c r="F44" s="141">
        <f t="shared" si="35"/>
        <v>0.45049860390905466</v>
      </c>
      <c r="G44" s="168"/>
      <c r="H44" s="127">
        <f t="shared" si="35"/>
        <v>0.6013173828483358</v>
      </c>
      <c r="I44" s="99">
        <f t="shared" si="35"/>
        <v>0.45190355619425626</v>
      </c>
      <c r="J44" s="99">
        <f t="shared" si="35"/>
        <v>0.42348745931457016</v>
      </c>
      <c r="K44" s="141">
        <f t="shared" si="35"/>
        <v>0.36238700861887746</v>
      </c>
      <c r="L44" s="168"/>
      <c r="M44" s="127">
        <f t="shared" si="35"/>
        <v>0.48987733492412661</v>
      </c>
      <c r="N44" s="99">
        <f t="shared" si="35"/>
        <v>0.429715400085319</v>
      </c>
      <c r="O44" s="99">
        <f t="shared" si="35"/>
        <v>0.16866667201785154</v>
      </c>
      <c r="P44" s="141">
        <f t="shared" si="35"/>
        <v>0.16715755090056614</v>
      </c>
      <c r="Q44" s="168"/>
      <c r="R44" s="127">
        <f t="shared" si="35"/>
        <v>0.41254099942118466</v>
      </c>
      <c r="S44" s="99">
        <f t="shared" si="35"/>
        <v>0.34889125511273367</v>
      </c>
      <c r="T44" s="99">
        <f t="shared" si="35"/>
        <v>0.20956151378126348</v>
      </c>
      <c r="U44" s="141">
        <f t="shared" si="35"/>
        <v>6.3276927706659866E-2</v>
      </c>
      <c r="V44" s="301"/>
      <c r="W44" s="303"/>
    </row>
    <row r="45" spans="2:23">
      <c r="B45" s="123" t="s">
        <v>45</v>
      </c>
      <c r="C45" s="118">
        <f>Норникель!C24</f>
        <v>6974</v>
      </c>
      <c r="D45" s="104">
        <f>Норникель!D24</f>
        <v>5854</v>
      </c>
      <c r="E45" s="104">
        <f>Норникель!E24</f>
        <v>2870</v>
      </c>
      <c r="F45" s="133">
        <f>Норникель!F24</f>
        <v>1815</v>
      </c>
      <c r="G45" s="104"/>
      <c r="H45" s="118">
        <f>Vale!C21</f>
        <v>24844</v>
      </c>
      <c r="I45" s="104">
        <f>Vale!D21</f>
        <v>16810</v>
      </c>
      <c r="J45" s="104">
        <f>Vale!E21</f>
        <v>8105</v>
      </c>
      <c r="K45" s="133">
        <f>Vale!F21</f>
        <v>6166</v>
      </c>
      <c r="L45" s="104"/>
      <c r="M45" s="118">
        <f>'Anglo American Platinum'!I23</f>
        <v>5131.2337662337659</v>
      </c>
      <c r="N45" s="104">
        <f>'Anglo American Platinum'!J23</f>
        <v>3238.8961892247044</v>
      </c>
      <c r="O45" s="104">
        <f>'Anglo American Platinum'!K23</f>
        <v>756.66854248733819</v>
      </c>
      <c r="P45" s="133">
        <f>'Anglo American Platinum'!L23</f>
        <v>395.13629075360768</v>
      </c>
      <c r="Q45" s="104"/>
      <c r="R45" s="118">
        <f>'Impala Platinum'!I21</f>
        <v>3107.4675324675322</v>
      </c>
      <c r="S45" s="104">
        <f>'Impala Platinum'!J21</f>
        <v>2177.3324572930355</v>
      </c>
      <c r="T45" s="104">
        <f>'Impala Platinum'!K21</f>
        <v>347.66460326392797</v>
      </c>
      <c r="U45" s="133">
        <f>'Impala Platinum'!L21</f>
        <v>-916.67557455905933</v>
      </c>
      <c r="V45" s="118"/>
      <c r="W45" s="303"/>
    </row>
    <row r="46" spans="2:23">
      <c r="B46" s="123" t="s">
        <v>27</v>
      </c>
      <c r="C46" s="118">
        <f>Норникель!C9</f>
        <v>17852</v>
      </c>
      <c r="D46" s="104">
        <f>Норникель!D9</f>
        <v>16876</v>
      </c>
      <c r="E46" s="104">
        <f>Норникель!E9</f>
        <v>14409</v>
      </c>
      <c r="F46" s="133">
        <f>Норникель!F9</f>
        <v>12535</v>
      </c>
      <c r="G46" s="104"/>
      <c r="H46" s="118">
        <f>Vale!C6</f>
        <v>54502</v>
      </c>
      <c r="I46" s="104">
        <f>Vale!D6</f>
        <v>43839</v>
      </c>
      <c r="J46" s="104">
        <f>Vale!E6</f>
        <v>41784</v>
      </c>
      <c r="K46" s="133">
        <f>Vale!F6</f>
        <v>38056</v>
      </c>
      <c r="L46" s="104"/>
      <c r="M46" s="118">
        <f>'Anglo American Platinum'!I8</f>
        <v>13932.987012987012</v>
      </c>
      <c r="N46" s="104">
        <f>'Anglo American Platinum'!J8</f>
        <v>10781.208935611037</v>
      </c>
      <c r="O46" s="104">
        <f>'Anglo American Platinum'!K8</f>
        <v>7010.8610016882385</v>
      </c>
      <c r="P46" s="133">
        <f>'Anglo American Platinum'!L8</f>
        <v>5825.0668091929447</v>
      </c>
      <c r="Q46" s="104"/>
      <c r="R46" s="118">
        <f>'Impala Platinum'!I6</f>
        <v>8413.9610389610389</v>
      </c>
      <c r="S46" s="104">
        <f>'Impala Platinum'!J6</f>
        <v>7774.7700394218127</v>
      </c>
      <c r="T46" s="104">
        <f>'Impala Platinum'!K6</f>
        <v>5998.5368598761961</v>
      </c>
      <c r="U46" s="133">
        <f>'Impala Platinum'!L6</f>
        <v>4617.7445216461783</v>
      </c>
      <c r="V46" s="118"/>
      <c r="W46" s="303"/>
    </row>
    <row r="47" spans="2:23" ht="15.95">
      <c r="B47" s="175" t="s">
        <v>46</v>
      </c>
      <c r="C47" s="127">
        <f>C45/C46</f>
        <v>0.39065650907461347</v>
      </c>
      <c r="D47" s="99">
        <f t="shared" ref="D47:U47" si="36">D45/D46</f>
        <v>0.34688314766532352</v>
      </c>
      <c r="E47" s="99">
        <f t="shared" si="36"/>
        <v>0.19918106738843777</v>
      </c>
      <c r="F47" s="141">
        <f t="shared" si="36"/>
        <v>0.14479457518946948</v>
      </c>
      <c r="G47" s="168"/>
      <c r="H47" s="127">
        <f t="shared" si="36"/>
        <v>0.45583648306484165</v>
      </c>
      <c r="I47" s="99">
        <f t="shared" si="36"/>
        <v>0.38344852756677844</v>
      </c>
      <c r="J47" s="99">
        <f t="shared" si="36"/>
        <v>0.19397376986406281</v>
      </c>
      <c r="K47" s="141">
        <f t="shared" si="36"/>
        <v>0.16202438511667017</v>
      </c>
      <c r="L47" s="168"/>
      <c r="M47" s="127">
        <f t="shared" si="36"/>
        <v>0.36827951977927742</v>
      </c>
      <c r="N47" s="99">
        <f t="shared" si="36"/>
        <v>0.3004205009446036</v>
      </c>
      <c r="O47" s="99">
        <f t="shared" si="36"/>
        <v>0.10792804796802132</v>
      </c>
      <c r="P47" s="141">
        <f t="shared" si="36"/>
        <v>6.7833778340536027E-2</v>
      </c>
      <c r="Q47" s="168"/>
      <c r="R47" s="127">
        <f t="shared" si="36"/>
        <v>0.36932278603125601</v>
      </c>
      <c r="S47" s="99">
        <f t="shared" si="36"/>
        <v>0.28005104282865162</v>
      </c>
      <c r="T47" s="99">
        <f t="shared" si="36"/>
        <v>5.795823404694448E-2</v>
      </c>
      <c r="U47" s="141">
        <f t="shared" si="36"/>
        <v>-0.19851153961897267</v>
      </c>
      <c r="V47" s="301"/>
      <c r="W47" s="303"/>
    </row>
    <row r="48" spans="2:23">
      <c r="B48" s="123" t="s">
        <v>45</v>
      </c>
      <c r="C48" s="118">
        <f>Норникель!C24</f>
        <v>6974</v>
      </c>
      <c r="D48" s="104">
        <f>Норникель!D24</f>
        <v>5854</v>
      </c>
      <c r="E48" s="104">
        <f>Норникель!E24</f>
        <v>2870</v>
      </c>
      <c r="F48" s="133">
        <f>Норникель!F24</f>
        <v>1815</v>
      </c>
      <c r="G48" s="104"/>
      <c r="H48" s="118">
        <f>Vale!C21</f>
        <v>24844</v>
      </c>
      <c r="I48" s="104">
        <f>Vale!D21</f>
        <v>16810</v>
      </c>
      <c r="J48" s="104">
        <f>Vale!E21</f>
        <v>8105</v>
      </c>
      <c r="K48" s="133">
        <f>Vale!F21</f>
        <v>6166</v>
      </c>
      <c r="L48" s="104"/>
      <c r="M48" s="118">
        <f>'Anglo American Platinum'!I23</f>
        <v>5131.2337662337659</v>
      </c>
      <c r="N48" s="104">
        <f>'Anglo American Platinum'!J23</f>
        <v>3238.8961892247044</v>
      </c>
      <c r="O48" s="104">
        <f>'Anglo American Platinum'!K23</f>
        <v>756.66854248733819</v>
      </c>
      <c r="P48" s="133">
        <f>'Anglo American Platinum'!L23</f>
        <v>395.13629075360768</v>
      </c>
      <c r="Q48" s="104"/>
      <c r="R48" s="118">
        <f>'Impala Platinum'!I21</f>
        <v>3107.4675324675322</v>
      </c>
      <c r="S48" s="104">
        <f>'Impala Platinum'!J21</f>
        <v>2177.3324572930355</v>
      </c>
      <c r="T48" s="104">
        <f>'Impala Platinum'!K21</f>
        <v>347.66460326392797</v>
      </c>
      <c r="U48" s="133">
        <f>'Impala Platinum'!L21</f>
        <v>-916.67557455905933</v>
      </c>
      <c r="V48" s="118"/>
      <c r="W48" s="303"/>
    </row>
    <row r="49" spans="2:23">
      <c r="B49" s="123" t="s">
        <v>47</v>
      </c>
      <c r="C49" s="118">
        <f>Норникель!C73</f>
        <v>4788</v>
      </c>
      <c r="D49" s="104">
        <f>Норникель!D73</f>
        <v>8567</v>
      </c>
      <c r="E49" s="104">
        <f>Норникель!E73</f>
        <v>7595</v>
      </c>
      <c r="F49" s="133">
        <f>Норникель!F73</f>
        <v>8097</v>
      </c>
      <c r="G49" s="104"/>
      <c r="H49" s="118">
        <f>Vale!C111</f>
        <v>35306</v>
      </c>
      <c r="I49" s="104">
        <f>Vale!D111</f>
        <v>37358</v>
      </c>
      <c r="J49" s="104">
        <f>Vale!E111</f>
        <v>40981</v>
      </c>
      <c r="K49" s="133">
        <f>Vale!F111</f>
        <v>34528</v>
      </c>
      <c r="L49" s="104"/>
      <c r="M49" s="118">
        <f>'Anglo American Platinum'!I72</f>
        <v>7147.3463687150834</v>
      </c>
      <c r="N49" s="104">
        <f>'Anglo American Platinum'!J72</f>
        <v>5959.5574677320219</v>
      </c>
      <c r="O49" s="104">
        <f>'Anglo American Platinum'!K72</f>
        <v>5306.8965517241377</v>
      </c>
      <c r="P49" s="133">
        <f>'Anglo American Platinum'!L72</f>
        <v>5613.6888400219896</v>
      </c>
      <c r="Q49" s="104"/>
      <c r="R49" s="118">
        <f>'Impala Platinum'!I66</f>
        <v>1479.6787709497207</v>
      </c>
      <c r="S49" s="104">
        <f>'Impala Platinum'!J66</f>
        <v>1418.5617701290719</v>
      </c>
      <c r="T49" s="104">
        <f>'Impala Platinum'!K66</f>
        <v>1369.708222811671</v>
      </c>
      <c r="U49" s="133">
        <f>'Impala Platinum'!L66</f>
        <v>1709.5107201759208</v>
      </c>
      <c r="V49" s="118"/>
      <c r="W49" s="303"/>
    </row>
    <row r="50" spans="2:23" ht="15.95">
      <c r="B50" s="175" t="s">
        <v>48</v>
      </c>
      <c r="C50" s="127">
        <f>C48/C49</f>
        <v>1.4565580618212197</v>
      </c>
      <c r="D50" s="99">
        <f t="shared" ref="D50:U50" si="37">D48/D49</f>
        <v>0.68331971518617951</v>
      </c>
      <c r="E50" s="99">
        <f t="shared" si="37"/>
        <v>0.37788018433179721</v>
      </c>
      <c r="F50" s="141">
        <f t="shared" si="37"/>
        <v>0.22415709522045202</v>
      </c>
      <c r="G50" s="168"/>
      <c r="H50" s="127">
        <f t="shared" si="37"/>
        <v>0.70367642893559168</v>
      </c>
      <c r="I50" s="99">
        <f t="shared" si="37"/>
        <v>0.44997055516890627</v>
      </c>
      <c r="J50" s="99">
        <f t="shared" si="37"/>
        <v>0.19777457846319027</v>
      </c>
      <c r="K50" s="141">
        <f t="shared" si="37"/>
        <v>0.17857970342910101</v>
      </c>
      <c r="L50" s="168"/>
      <c r="M50" s="127">
        <f t="shared" si="37"/>
        <v>0.71792151961375217</v>
      </c>
      <c r="N50" s="99">
        <f t="shared" si="37"/>
        <v>0.54347931146929662</v>
      </c>
      <c r="O50" s="99">
        <f t="shared" si="37"/>
        <v>0.14258211651808192</v>
      </c>
      <c r="P50" s="141">
        <f t="shared" si="37"/>
        <v>7.0387992996074192E-2</v>
      </c>
      <c r="Q50" s="168"/>
      <c r="R50" s="127">
        <f t="shared" si="37"/>
        <v>2.1000960434628846</v>
      </c>
      <c r="S50" s="99">
        <f t="shared" si="37"/>
        <v>1.5348873084990333</v>
      </c>
      <c r="T50" s="99">
        <f t="shared" si="37"/>
        <v>0.25382384180351841</v>
      </c>
      <c r="U50" s="141">
        <f t="shared" si="37"/>
        <v>-0.53622101560423496</v>
      </c>
      <c r="V50" s="301"/>
      <c r="W50" s="303"/>
    </row>
    <row r="51" spans="2:23">
      <c r="B51" s="157" t="s">
        <v>45</v>
      </c>
      <c r="C51" s="118">
        <f>Норникель!C24</f>
        <v>6974</v>
      </c>
      <c r="D51" s="104">
        <f>Норникель!D24</f>
        <v>5854</v>
      </c>
      <c r="E51" s="104">
        <f>Норникель!E24</f>
        <v>2870</v>
      </c>
      <c r="F51" s="133">
        <f>Норникель!F24</f>
        <v>1815</v>
      </c>
      <c r="G51" s="104"/>
      <c r="H51" s="118">
        <f>Vale!C21</f>
        <v>24844</v>
      </c>
      <c r="I51" s="104">
        <f>Vale!D21</f>
        <v>16810</v>
      </c>
      <c r="J51" s="104">
        <f>Vale!E21</f>
        <v>8105</v>
      </c>
      <c r="K51" s="133">
        <f>Vale!F21</f>
        <v>6166</v>
      </c>
      <c r="L51" s="104"/>
      <c r="M51" s="118">
        <f>'Anglo American Platinum'!I23</f>
        <v>5131.2337662337659</v>
      </c>
      <c r="N51" s="104">
        <f>'Anglo American Platinum'!J23</f>
        <v>3238.8961892247044</v>
      </c>
      <c r="O51" s="104">
        <f>'Anglo American Platinum'!K23</f>
        <v>756.66854248733819</v>
      </c>
      <c r="P51" s="133">
        <f>'Anglo American Platinum'!L23</f>
        <v>395.13629075360768</v>
      </c>
      <c r="Q51" s="104"/>
      <c r="R51" s="118">
        <f>'Impala Platinum'!I21</f>
        <v>3107.4675324675322</v>
      </c>
      <c r="S51" s="104">
        <f>'Impala Platinum'!J21</f>
        <v>2177.3324572930355</v>
      </c>
      <c r="T51" s="104">
        <f>'Impala Platinum'!K21</f>
        <v>347.66460326392797</v>
      </c>
      <c r="U51" s="133">
        <f>'Impala Platinum'!L21</f>
        <v>-916.67557455905933</v>
      </c>
      <c r="V51" s="118"/>
      <c r="W51" s="303"/>
    </row>
    <row r="52" spans="2:23">
      <c r="B52" s="157" t="s">
        <v>41</v>
      </c>
      <c r="C52" s="118">
        <f>Норникель!C64</f>
        <v>23435</v>
      </c>
      <c r="D52" s="104">
        <f>Норникель!E64</f>
        <v>23580</v>
      </c>
      <c r="E52" s="104">
        <f>Норникель!E64</f>
        <v>23580</v>
      </c>
      <c r="F52" s="133">
        <f>Норникель!F64</f>
        <v>23170</v>
      </c>
      <c r="G52" s="104"/>
      <c r="H52" s="118">
        <f>Vale!C71</f>
        <v>89442</v>
      </c>
      <c r="I52" s="104">
        <f>Vale!D71</f>
        <v>86894</v>
      </c>
      <c r="J52" s="104">
        <f>Vale!E71</f>
        <v>94186</v>
      </c>
      <c r="K52" s="133">
        <f>Vale!F71</f>
        <v>80152</v>
      </c>
      <c r="L52" s="104"/>
      <c r="M52" s="118">
        <f>'Anglo American Platinum'!I63</f>
        <v>12580.237430167597</v>
      </c>
      <c r="N52" s="104">
        <f>'Anglo American Platinum'!J63</f>
        <v>10873.632452366319</v>
      </c>
      <c r="O52" s="104">
        <f>'Anglo American Platinum'!K63</f>
        <v>8976.9230769230762</v>
      </c>
      <c r="P52" s="133">
        <f>'Anglo American Platinum'!L63</f>
        <v>9397.6360637713024</v>
      </c>
      <c r="Q52" s="104"/>
      <c r="R52" s="118">
        <f>'Impala Platinum'!I63</f>
        <v>8832.0530726256984</v>
      </c>
      <c r="S52" s="104">
        <f>'Impala Platinum'!J63</f>
        <v>9593.5464044253222</v>
      </c>
      <c r="T52" s="104">
        <f>'Impala Platinum'!K63</f>
        <v>8985.9946949602108</v>
      </c>
      <c r="U52" s="133">
        <f>'Impala Platinum'!L63</f>
        <v>7309.2358438702577</v>
      </c>
      <c r="V52" s="118"/>
      <c r="W52" s="303"/>
    </row>
    <row r="53" spans="2:23">
      <c r="B53" s="157" t="s">
        <v>49</v>
      </c>
      <c r="C53" s="118"/>
      <c r="D53" s="104">
        <f>AVERAGE(C52:D52)</f>
        <v>23507.5</v>
      </c>
      <c r="E53" s="104">
        <f>AVERAGE(D52:E52)</f>
        <v>23580</v>
      </c>
      <c r="F53" s="133">
        <f>AVERAGE(E52:F52)</f>
        <v>23375</v>
      </c>
      <c r="G53" s="104"/>
      <c r="H53" s="118"/>
      <c r="I53" s="104">
        <f t="shared" ref="I53:K53" si="38">AVERAGE(H52:I52)</f>
        <v>88168</v>
      </c>
      <c r="J53" s="104">
        <f t="shared" si="38"/>
        <v>90540</v>
      </c>
      <c r="K53" s="133">
        <f t="shared" si="38"/>
        <v>87169</v>
      </c>
      <c r="L53" s="104"/>
      <c r="M53" s="118"/>
      <c r="N53" s="104">
        <f t="shared" ref="N53" si="39">AVERAGE(M52:N52)</f>
        <v>11726.934941266958</v>
      </c>
      <c r="O53" s="104">
        <f t="shared" ref="O53" si="40">AVERAGE(N52:O52)</f>
        <v>9925.2777646446975</v>
      </c>
      <c r="P53" s="133">
        <f t="shared" ref="P53" si="41">AVERAGE(O52:P52)</f>
        <v>9187.2795703471893</v>
      </c>
      <c r="Q53" s="104"/>
      <c r="R53" s="118"/>
      <c r="S53" s="104">
        <f t="shared" ref="S53" si="42">AVERAGE(R52:S52)</f>
        <v>9212.7997385255112</v>
      </c>
      <c r="T53" s="104">
        <f t="shared" ref="T53" si="43">AVERAGE(S52:T52)</f>
        <v>9289.7705496927665</v>
      </c>
      <c r="U53" s="133">
        <f t="shared" ref="U53" si="44">AVERAGE(T52:U52)</f>
        <v>8147.6152694152343</v>
      </c>
      <c r="V53" s="118"/>
      <c r="W53" s="303"/>
    </row>
    <row r="54" spans="2:23" ht="15.95">
      <c r="B54" s="175" t="s">
        <v>50</v>
      </c>
      <c r="C54" s="127"/>
      <c r="D54" s="99">
        <f>D51/D53</f>
        <v>0.24902690630649793</v>
      </c>
      <c r="E54" s="99">
        <f t="shared" ref="E54:U54" si="45">E51/E53</f>
        <v>0.12171331636980492</v>
      </c>
      <c r="F54" s="141">
        <f t="shared" si="45"/>
        <v>7.7647058823529416E-2</v>
      </c>
      <c r="G54" s="168"/>
      <c r="H54" s="127"/>
      <c r="I54" s="99">
        <f t="shared" si="45"/>
        <v>0.19065874240087105</v>
      </c>
      <c r="J54" s="99">
        <f t="shared" si="45"/>
        <v>8.9518444886238127E-2</v>
      </c>
      <c r="K54" s="141">
        <f t="shared" si="45"/>
        <v>7.0736156202319628E-2</v>
      </c>
      <c r="L54" s="168"/>
      <c r="M54" s="127"/>
      <c r="N54" s="99">
        <f t="shared" si="45"/>
        <v>0.27619290167860178</v>
      </c>
      <c r="O54" s="99">
        <f t="shared" si="45"/>
        <v>7.6236510496734217E-2</v>
      </c>
      <c r="P54" s="141">
        <f t="shared" si="45"/>
        <v>4.3009063534862627E-2</v>
      </c>
      <c r="Q54" s="168"/>
      <c r="R54" s="127"/>
      <c r="S54" s="99">
        <f t="shared" si="45"/>
        <v>0.23633776040827226</v>
      </c>
      <c r="T54" s="99">
        <f t="shared" si="45"/>
        <v>3.7424455362401389E-2</v>
      </c>
      <c r="U54" s="141">
        <f t="shared" si="45"/>
        <v>-0.11250845115381232</v>
      </c>
      <c r="V54" s="301"/>
      <c r="W54" s="303"/>
    </row>
    <row r="55" spans="2:23">
      <c r="B55" s="157" t="s">
        <v>27</v>
      </c>
      <c r="C55" s="118">
        <f>Норникель!C9</f>
        <v>17852</v>
      </c>
      <c r="D55" s="104">
        <f>Норникель!D9</f>
        <v>16876</v>
      </c>
      <c r="E55" s="104">
        <f>Норникель!E9</f>
        <v>14409</v>
      </c>
      <c r="F55" s="133">
        <f>Норникель!F9</f>
        <v>12535</v>
      </c>
      <c r="G55" s="104"/>
      <c r="H55" s="118">
        <f>Vale!C6</f>
        <v>54502</v>
      </c>
      <c r="I55" s="104">
        <f>Vale!D6</f>
        <v>43839</v>
      </c>
      <c r="J55" s="104">
        <f>Vale!E6</f>
        <v>41784</v>
      </c>
      <c r="K55" s="133">
        <f>Vale!F6</f>
        <v>38056</v>
      </c>
      <c r="L55" s="104"/>
      <c r="M55" s="118">
        <f>'Anglo American Platinum'!I8</f>
        <v>13932.987012987012</v>
      </c>
      <c r="N55" s="104">
        <f>'Anglo American Platinum'!J8</f>
        <v>10781.208935611037</v>
      </c>
      <c r="O55" s="104">
        <f>'Anglo American Platinum'!K8</f>
        <v>7010.8610016882385</v>
      </c>
      <c r="P55" s="133">
        <f>'Anglo American Platinum'!L8</f>
        <v>5825.0668091929447</v>
      </c>
      <c r="Q55" s="104"/>
      <c r="R55" s="118">
        <f>'Impala Platinum'!I6</f>
        <v>8413.9610389610389</v>
      </c>
      <c r="S55" s="104">
        <f>'Impala Platinum'!J6</f>
        <v>7774.7700394218127</v>
      </c>
      <c r="T55" s="104">
        <f>'Impala Platinum'!K6</f>
        <v>5998.5368598761961</v>
      </c>
      <c r="U55" s="133">
        <f>'Impala Platinum'!L6</f>
        <v>4617.7445216461783</v>
      </c>
      <c r="V55" s="118"/>
      <c r="W55" s="303"/>
    </row>
    <row r="56" spans="2:23">
      <c r="B56" s="157" t="s">
        <v>41</v>
      </c>
      <c r="C56" s="118">
        <f>Норникель!C64</f>
        <v>23435</v>
      </c>
      <c r="D56" s="104">
        <f>Норникель!D64</f>
        <v>25795</v>
      </c>
      <c r="E56" s="104">
        <f>Норникель!E64</f>
        <v>23580</v>
      </c>
      <c r="F56" s="133">
        <f>Норникель!F64</f>
        <v>23170</v>
      </c>
      <c r="G56" s="104"/>
      <c r="H56" s="118">
        <f>Vale!C71</f>
        <v>89442</v>
      </c>
      <c r="I56" s="104">
        <f>Vale!D71</f>
        <v>86894</v>
      </c>
      <c r="J56" s="104">
        <f>Vale!E71</f>
        <v>94186</v>
      </c>
      <c r="K56" s="133">
        <f>Vale!F71</f>
        <v>80152</v>
      </c>
      <c r="L56" s="104"/>
      <c r="M56" s="118">
        <f>'Anglo American Platinum'!I63</f>
        <v>12580.237430167597</v>
      </c>
      <c r="N56" s="104">
        <f>'Anglo American Platinum'!J63</f>
        <v>10873.632452366319</v>
      </c>
      <c r="O56" s="104">
        <f>'Anglo American Platinum'!K63</f>
        <v>8976.9230769230762</v>
      </c>
      <c r="P56" s="133">
        <f>'Anglo American Platinum'!L63</f>
        <v>9397.6360637713024</v>
      </c>
      <c r="Q56" s="104"/>
      <c r="R56" s="118">
        <f>'Impala Platinum'!I63</f>
        <v>8832.0530726256984</v>
      </c>
      <c r="S56" s="104">
        <f>'Impala Platinum'!J63</f>
        <v>9593.5464044253222</v>
      </c>
      <c r="T56" s="104">
        <f>'Impala Platinum'!K63</f>
        <v>8985.9946949602108</v>
      </c>
      <c r="U56" s="133">
        <f>'Impala Platinum'!L63</f>
        <v>7309.2358438702577</v>
      </c>
      <c r="V56" s="118"/>
      <c r="W56" s="303"/>
    </row>
    <row r="57" spans="2:23">
      <c r="B57" s="157" t="s">
        <v>49</v>
      </c>
      <c r="C57" s="118"/>
      <c r="D57" s="104">
        <f>AVERAGE(C56:D56)</f>
        <v>24615</v>
      </c>
      <c r="E57" s="104">
        <f>AVERAGE(D56:E56)</f>
        <v>24687.5</v>
      </c>
      <c r="F57" s="133">
        <f>AVERAGE(E56:F56)</f>
        <v>23375</v>
      </c>
      <c r="G57" s="104"/>
      <c r="H57" s="118"/>
      <c r="I57" s="104">
        <f t="shared" ref="I57" si="46">AVERAGE(H56:I56)</f>
        <v>88168</v>
      </c>
      <c r="J57" s="104">
        <f t="shared" ref="J57" si="47">AVERAGE(I56:J56)</f>
        <v>90540</v>
      </c>
      <c r="K57" s="133">
        <f t="shared" ref="K57" si="48">AVERAGE(J56:K56)</f>
        <v>87169</v>
      </c>
      <c r="L57" s="104"/>
      <c r="M57" s="118"/>
      <c r="N57" s="104">
        <f t="shared" ref="N57" si="49">AVERAGE(M56:N56)</f>
        <v>11726.934941266958</v>
      </c>
      <c r="O57" s="104">
        <f t="shared" ref="O57" si="50">AVERAGE(N56:O56)</f>
        <v>9925.2777646446975</v>
      </c>
      <c r="P57" s="133">
        <f t="shared" ref="P57" si="51">AVERAGE(O56:P56)</f>
        <v>9187.2795703471893</v>
      </c>
      <c r="Q57" s="104"/>
      <c r="R57" s="118"/>
      <c r="S57" s="104">
        <f t="shared" ref="S57" si="52">AVERAGE(R56:S56)</f>
        <v>9212.7997385255112</v>
      </c>
      <c r="T57" s="104">
        <f t="shared" ref="T57" si="53">AVERAGE(S56:T56)</f>
        <v>9289.7705496927665</v>
      </c>
      <c r="U57" s="133">
        <f t="shared" ref="U57" si="54">AVERAGE(T56:U56)</f>
        <v>8147.6152694152343</v>
      </c>
      <c r="V57" s="118"/>
      <c r="W57" s="303"/>
    </row>
    <row r="58" spans="2:23" ht="15.95">
      <c r="B58" s="175" t="s">
        <v>51</v>
      </c>
      <c r="C58" s="127"/>
      <c r="D58" s="99">
        <f>D55/D57</f>
        <v>0.68559821247206987</v>
      </c>
      <c r="E58" s="99">
        <f t="shared" ref="E58:F58" si="55">E55/E57</f>
        <v>0.58365569620253166</v>
      </c>
      <c r="F58" s="141">
        <f t="shared" si="55"/>
        <v>0.53625668449197861</v>
      </c>
      <c r="G58" s="168"/>
      <c r="H58" s="127"/>
      <c r="I58" s="99">
        <f t="shared" ref="I58:K58" si="56">I55/I57</f>
        <v>0.49722121404591235</v>
      </c>
      <c r="J58" s="99">
        <f t="shared" si="56"/>
        <v>0.46149768058316765</v>
      </c>
      <c r="K58" s="141">
        <f t="shared" si="56"/>
        <v>0.43657722355424522</v>
      </c>
      <c r="L58" s="168"/>
      <c r="M58" s="127"/>
      <c r="N58" s="99">
        <f t="shared" ref="N58:P58" si="57">N55/N57</f>
        <v>0.91935437431925016</v>
      </c>
      <c r="O58" s="99">
        <f t="shared" si="57"/>
        <v>0.70636421145430905</v>
      </c>
      <c r="P58" s="141">
        <f t="shared" si="57"/>
        <v>0.63403608920249876</v>
      </c>
      <c r="Q58" s="168"/>
      <c r="R58" s="127"/>
      <c r="S58" s="99">
        <f t="shared" ref="S58:U58" si="58">S55/S57</f>
        <v>0.84390958884189837</v>
      </c>
      <c r="T58" s="99">
        <f t="shared" si="58"/>
        <v>0.64571421089346293</v>
      </c>
      <c r="U58" s="141">
        <f t="shared" si="58"/>
        <v>0.56676025670731023</v>
      </c>
      <c r="V58" s="301"/>
      <c r="W58" s="303"/>
    </row>
    <row r="59" spans="2:23">
      <c r="B59" s="180"/>
      <c r="C59" s="180"/>
      <c r="D59" s="180"/>
      <c r="E59" s="180"/>
      <c r="F59" s="180"/>
      <c r="G59" s="181"/>
      <c r="H59" s="180"/>
      <c r="I59" s="180"/>
      <c r="J59" s="180"/>
      <c r="K59" s="180"/>
      <c r="L59" s="181"/>
      <c r="M59" s="180"/>
      <c r="N59" s="180"/>
      <c r="O59" s="180"/>
      <c r="P59" s="180"/>
      <c r="Q59" s="181"/>
      <c r="R59" s="180"/>
      <c r="S59" s="180"/>
      <c r="T59" s="180"/>
      <c r="U59" s="180"/>
      <c r="V59" s="181"/>
      <c r="W59" s="303"/>
    </row>
    <row r="60" spans="2:23" ht="18.95">
      <c r="B60" s="183" t="s">
        <v>52</v>
      </c>
      <c r="C60" s="128"/>
      <c r="D60" s="113"/>
      <c r="E60" s="113"/>
      <c r="F60" s="142"/>
      <c r="G60" s="169"/>
      <c r="H60" s="153"/>
      <c r="I60" s="114"/>
      <c r="J60" s="114"/>
      <c r="K60" s="154"/>
      <c r="L60" s="169"/>
      <c r="M60" s="153"/>
      <c r="N60" s="114"/>
      <c r="O60" s="114"/>
      <c r="P60" s="154"/>
      <c r="Q60" s="169"/>
      <c r="R60" s="153"/>
      <c r="S60" s="114"/>
      <c r="T60" s="114"/>
      <c r="U60" s="154"/>
      <c r="V60" s="302"/>
      <c r="W60" s="303"/>
    </row>
    <row r="61" spans="2:23">
      <c r="B61" s="123" t="str">
        <f>B50</f>
        <v>Рентабельность собственного капитала (ROE)</v>
      </c>
      <c r="C61" s="129">
        <f>C50</f>
        <v>1.4565580618212197</v>
      </c>
      <c r="D61" s="98">
        <f>D50</f>
        <v>0.68331971518617951</v>
      </c>
      <c r="E61" s="98">
        <f>E50</f>
        <v>0.37788018433179721</v>
      </c>
      <c r="F61" s="143">
        <f>F50</f>
        <v>0.22415709522045202</v>
      </c>
      <c r="G61" s="104"/>
      <c r="H61" s="129">
        <f t="shared" ref="H61:U61" si="59">H50</f>
        <v>0.70367642893559168</v>
      </c>
      <c r="I61" s="98">
        <f t="shared" si="59"/>
        <v>0.44997055516890627</v>
      </c>
      <c r="J61" s="98">
        <f t="shared" si="59"/>
        <v>0.19777457846319027</v>
      </c>
      <c r="K61" s="143">
        <f t="shared" si="59"/>
        <v>0.17857970342910101</v>
      </c>
      <c r="L61" s="104"/>
      <c r="M61" s="129">
        <f t="shared" si="59"/>
        <v>0.71792151961375217</v>
      </c>
      <c r="N61" s="98">
        <f t="shared" si="59"/>
        <v>0.54347931146929662</v>
      </c>
      <c r="O61" s="98">
        <f t="shared" si="59"/>
        <v>0.14258211651808192</v>
      </c>
      <c r="P61" s="143">
        <f t="shared" si="59"/>
        <v>7.0387992996074192E-2</v>
      </c>
      <c r="Q61" s="104"/>
      <c r="R61" s="129">
        <f t="shared" si="59"/>
        <v>2.1000960434628846</v>
      </c>
      <c r="S61" s="98">
        <f t="shared" si="59"/>
        <v>1.5348873084990333</v>
      </c>
      <c r="T61" s="98">
        <f t="shared" si="59"/>
        <v>0.25382384180351841</v>
      </c>
      <c r="U61" s="143">
        <f t="shared" si="59"/>
        <v>-0.53622101560423496</v>
      </c>
      <c r="V61" s="118"/>
      <c r="W61" s="303"/>
    </row>
    <row r="62" spans="2:23">
      <c r="B62" s="123" t="str">
        <f>B54</f>
        <v>Рентабельность собственных активов (ROA)</v>
      </c>
      <c r="C62" s="129">
        <f>C54</f>
        <v>0</v>
      </c>
      <c r="D62" s="98">
        <f>D54</f>
        <v>0.24902690630649793</v>
      </c>
      <c r="E62" s="98">
        <f>E54</f>
        <v>0.12171331636980492</v>
      </c>
      <c r="F62" s="143">
        <f>F54</f>
        <v>7.7647058823529416E-2</v>
      </c>
      <c r="G62" s="104"/>
      <c r="H62" s="129">
        <f t="shared" ref="H62:U62" si="60">H54</f>
        <v>0</v>
      </c>
      <c r="I62" s="98">
        <f t="shared" si="60"/>
        <v>0.19065874240087105</v>
      </c>
      <c r="J62" s="98">
        <f t="shared" si="60"/>
        <v>8.9518444886238127E-2</v>
      </c>
      <c r="K62" s="143">
        <f t="shared" si="60"/>
        <v>7.0736156202319628E-2</v>
      </c>
      <c r="L62" s="104"/>
      <c r="M62" s="129">
        <f t="shared" si="60"/>
        <v>0</v>
      </c>
      <c r="N62" s="98">
        <f t="shared" si="60"/>
        <v>0.27619290167860178</v>
      </c>
      <c r="O62" s="98">
        <f t="shared" si="60"/>
        <v>7.6236510496734217E-2</v>
      </c>
      <c r="P62" s="143">
        <f t="shared" si="60"/>
        <v>4.3009063534862627E-2</v>
      </c>
      <c r="Q62" s="104"/>
      <c r="R62" s="129">
        <f t="shared" si="60"/>
        <v>0</v>
      </c>
      <c r="S62" s="98">
        <f t="shared" si="60"/>
        <v>0.23633776040827226</v>
      </c>
      <c r="T62" s="98">
        <f t="shared" si="60"/>
        <v>3.7424455362401389E-2</v>
      </c>
      <c r="U62" s="143">
        <f t="shared" si="60"/>
        <v>-0.11250845115381232</v>
      </c>
      <c r="V62" s="118"/>
      <c r="W62" s="303"/>
    </row>
    <row r="63" spans="2:23" ht="15.95">
      <c r="B63" s="176" t="s">
        <v>53</v>
      </c>
      <c r="C63" s="130"/>
      <c r="D63" s="100">
        <f>D61/D62</f>
        <v>2.7439593790124897</v>
      </c>
      <c r="E63" s="100">
        <f t="shared" ref="E63:U63" si="61">E61/E62</f>
        <v>3.1046741277156018</v>
      </c>
      <c r="F63" s="144">
        <f t="shared" si="61"/>
        <v>2.8868716808694574</v>
      </c>
      <c r="G63" s="115"/>
      <c r="H63" s="130"/>
      <c r="I63" s="100">
        <f t="shared" si="61"/>
        <v>2.3600835162481935</v>
      </c>
      <c r="J63" s="100">
        <f t="shared" si="61"/>
        <v>2.2093165125301972</v>
      </c>
      <c r="K63" s="144">
        <f t="shared" si="61"/>
        <v>2.5245887395736792</v>
      </c>
      <c r="L63" s="115"/>
      <c r="M63" s="130"/>
      <c r="N63" s="100">
        <f t="shared" si="61"/>
        <v>1.9677526401519501</v>
      </c>
      <c r="O63" s="100">
        <f t="shared" si="61"/>
        <v>1.8702602675418858</v>
      </c>
      <c r="P63" s="144">
        <f t="shared" si="61"/>
        <v>1.6365851104620899</v>
      </c>
      <c r="Q63" s="115"/>
      <c r="R63" s="130"/>
      <c r="S63" s="100">
        <f t="shared" si="61"/>
        <v>6.4944649803210606</v>
      </c>
      <c r="T63" s="100">
        <f t="shared" si="61"/>
        <v>6.7822988830593225</v>
      </c>
      <c r="U63" s="144">
        <f t="shared" si="61"/>
        <v>4.7660509953261876</v>
      </c>
      <c r="V63" s="155"/>
      <c r="W63" s="303"/>
    </row>
    <row r="64" spans="2:23">
      <c r="B64" s="123" t="s">
        <v>54</v>
      </c>
      <c r="C64" s="118">
        <f>Норникель!C100</f>
        <v>18647</v>
      </c>
      <c r="D64" s="104">
        <f>Норникель!D100</f>
        <v>17228</v>
      </c>
      <c r="E64" s="104">
        <f>Норникель!E100</f>
        <v>15985</v>
      </c>
      <c r="F64" s="133">
        <f>Норникель!F100</f>
        <v>15073</v>
      </c>
      <c r="G64" s="104"/>
      <c r="H64" s="118">
        <f>Vale!C105</f>
        <v>54136</v>
      </c>
      <c r="I64" s="104">
        <f>Vale!D105</f>
        <v>49536</v>
      </c>
      <c r="J64" s="104">
        <f>Vale!E105</f>
        <v>53205</v>
      </c>
      <c r="K64" s="133">
        <f>Vale!F105</f>
        <v>45624</v>
      </c>
      <c r="L64" s="104"/>
      <c r="M64" s="118">
        <f>'Anglo American Platinum'!I80+'Anglo American Platinum'!I81</f>
        <v>5432.8910614525139</v>
      </c>
      <c r="N64" s="104">
        <f>'Anglo American Platinum'!J80+'Anglo American Platinum'!J81</f>
        <v>4914.0749846342969</v>
      </c>
      <c r="O64" s="104">
        <f>'Anglo American Platinum'!K80+'Anglo American Platinum'!K81</f>
        <v>3670.026525198939</v>
      </c>
      <c r="P64" s="133">
        <f>'Anglo American Platinum'!L80+'Anglo American Platinum'!L81</f>
        <v>3783.9472237493128</v>
      </c>
      <c r="Q64" s="104"/>
      <c r="R64" s="118">
        <f>'Impala Platinum'!I91</f>
        <v>2499.9301675977654</v>
      </c>
      <c r="S64" s="104">
        <f>'Impala Platinum'!J91</f>
        <v>2261.5857406269206</v>
      </c>
      <c r="T64" s="104">
        <f>'Impala Platinum'!K91</f>
        <v>2299.787798408488</v>
      </c>
      <c r="U64" s="133">
        <f>'Impala Platinum'!L91</f>
        <v>1997.2512369433753</v>
      </c>
      <c r="V64" s="118"/>
      <c r="W64" s="303"/>
    </row>
    <row r="65" spans="2:23">
      <c r="B65" s="123" t="s">
        <v>41</v>
      </c>
      <c r="C65" s="118">
        <f>Норникель!C64</f>
        <v>23435</v>
      </c>
      <c r="D65" s="104">
        <f>Норникель!D64</f>
        <v>25795</v>
      </c>
      <c r="E65" s="104">
        <f>Норникель!E64</f>
        <v>23580</v>
      </c>
      <c r="F65" s="133">
        <f>Норникель!F64</f>
        <v>23170</v>
      </c>
      <c r="G65" s="104"/>
      <c r="H65" s="118">
        <f>Vale!C71</f>
        <v>89442</v>
      </c>
      <c r="I65" s="104">
        <f>Vale!D71</f>
        <v>86894</v>
      </c>
      <c r="J65" s="104">
        <f>Vale!E71</f>
        <v>94186</v>
      </c>
      <c r="K65" s="133">
        <f>Vale!F71</f>
        <v>80152</v>
      </c>
      <c r="L65" s="104"/>
      <c r="M65" s="118">
        <f>'Anglo American Platinum'!I63</f>
        <v>12580.237430167597</v>
      </c>
      <c r="N65" s="104">
        <f>'Anglo American Platinum'!J63</f>
        <v>10873.632452366319</v>
      </c>
      <c r="O65" s="104">
        <f>'Anglo American Platinum'!K63</f>
        <v>8976.9230769230762</v>
      </c>
      <c r="P65" s="133">
        <f>'Anglo American Platinum'!L63</f>
        <v>9397.6360637713024</v>
      </c>
      <c r="Q65" s="104"/>
      <c r="R65" s="118">
        <f>'Impala Platinum'!I63</f>
        <v>8832.0530726256984</v>
      </c>
      <c r="S65" s="104">
        <f>'Impala Platinum'!J63</f>
        <v>9593.5464044253222</v>
      </c>
      <c r="T65" s="104">
        <f>'Impala Platinum'!K63</f>
        <v>8985.9946949602108</v>
      </c>
      <c r="U65" s="133">
        <f>'Impala Platinum'!L63</f>
        <v>7309.2358438702577</v>
      </c>
      <c r="V65" s="118"/>
      <c r="W65" s="303"/>
    </row>
    <row r="66" spans="2:23" ht="15.95">
      <c r="B66" s="176" t="s">
        <v>55</v>
      </c>
      <c r="C66" s="130">
        <f>C64/C65</f>
        <v>0.7956902069554086</v>
      </c>
      <c r="D66" s="100">
        <f t="shared" ref="D66:U66" si="62">D64/D65</f>
        <v>0.66788137235898426</v>
      </c>
      <c r="E66" s="100">
        <f t="shared" si="62"/>
        <v>0.67790500424088207</v>
      </c>
      <c r="F66" s="144">
        <f t="shared" si="62"/>
        <v>0.65053949072075956</v>
      </c>
      <c r="G66" s="115"/>
      <c r="H66" s="130">
        <f t="shared" si="62"/>
        <v>0.60526374633840929</v>
      </c>
      <c r="I66" s="100">
        <f t="shared" si="62"/>
        <v>0.57007388312196472</v>
      </c>
      <c r="J66" s="100">
        <f t="shared" si="62"/>
        <v>0.56489287155203538</v>
      </c>
      <c r="K66" s="144">
        <f t="shared" si="62"/>
        <v>0.56921848487873039</v>
      </c>
      <c r="L66" s="115"/>
      <c r="M66" s="130">
        <f t="shared" si="62"/>
        <v>0.43185918323165823</v>
      </c>
      <c r="N66" s="100">
        <f t="shared" si="62"/>
        <v>0.45192579445380243</v>
      </c>
      <c r="O66" s="100">
        <f t="shared" si="62"/>
        <v>0.40882900452087584</v>
      </c>
      <c r="P66" s="144">
        <f t="shared" si="62"/>
        <v>0.40264883616176156</v>
      </c>
      <c r="Q66" s="115"/>
      <c r="R66" s="130">
        <f t="shared" si="62"/>
        <v>0.28305198655860841</v>
      </c>
      <c r="S66" s="100">
        <f t="shared" si="62"/>
        <v>0.23574032430631636</v>
      </c>
      <c r="T66" s="100">
        <f t="shared" si="62"/>
        <v>0.2559302421687743</v>
      </c>
      <c r="U66" s="144">
        <f t="shared" si="62"/>
        <v>0.2732503478620586</v>
      </c>
      <c r="V66" s="155"/>
      <c r="W66" s="303"/>
    </row>
    <row r="67" spans="2:23">
      <c r="B67" s="123" t="s">
        <v>56</v>
      </c>
      <c r="C67" s="118">
        <f>Норникель!C84</f>
        <v>10564</v>
      </c>
      <c r="D67" s="104">
        <f>Норникель!D84</f>
        <v>9539</v>
      </c>
      <c r="E67" s="104">
        <f>Норникель!E84</f>
        <v>7154</v>
      </c>
      <c r="F67" s="133">
        <f>Норникель!F84</f>
        <v>9154</v>
      </c>
      <c r="G67" s="104"/>
      <c r="H67" s="118">
        <f>Vale!C104</f>
        <v>38938</v>
      </c>
      <c r="I67" s="104">
        <f>Vale!D104</f>
        <v>35645</v>
      </c>
      <c r="J67" s="104">
        <f>Vale!E104</f>
        <v>3855</v>
      </c>
      <c r="K67" s="133">
        <f>Vale!F104</f>
        <v>32534</v>
      </c>
      <c r="L67" s="104"/>
      <c r="M67" s="118">
        <f>'Anglo American Platinum'!I80</f>
        <v>1489.5949720670392</v>
      </c>
      <c r="N67" s="104">
        <f>'Anglo American Platinum'!J80</f>
        <v>1345.7283343577137</v>
      </c>
      <c r="O67" s="104">
        <f>'Anglo American Platinum'!K80</f>
        <v>1179.893899204244</v>
      </c>
      <c r="P67" s="133">
        <f>'Anglo American Platinum'!L80</f>
        <v>1304.5079714128642</v>
      </c>
      <c r="Q67" s="104"/>
      <c r="R67" s="118">
        <f>'Impala Platinum'!I81</f>
        <v>1257.4022346368715</v>
      </c>
      <c r="S67" s="104">
        <f>'Impala Platinum'!J81</f>
        <v>1242.102028272895</v>
      </c>
      <c r="T67" s="104">
        <f>'Impala Platinum'!K81</f>
        <v>1362.2811671087532</v>
      </c>
      <c r="U67" s="133">
        <f>'Impala Platinum'!L81</f>
        <v>1071.2479384277074</v>
      </c>
      <c r="V67" s="118"/>
      <c r="W67" s="303"/>
    </row>
    <row r="68" spans="2:23">
      <c r="B68" s="123" t="s">
        <v>47</v>
      </c>
      <c r="C68" s="118">
        <f>Норникель!C89</f>
        <v>2224</v>
      </c>
      <c r="D68" s="104">
        <f>Норникель!D89</f>
        <v>1381</v>
      </c>
      <c r="E68" s="104">
        <f>Норникель!E89</f>
        <v>1273</v>
      </c>
      <c r="F68" s="133">
        <f>Норникель!F89</f>
        <v>1209</v>
      </c>
      <c r="G68" s="104"/>
      <c r="H68" s="118">
        <f>Vale!C111</f>
        <v>35306</v>
      </c>
      <c r="I68" s="104">
        <f>Vale!D111</f>
        <v>37358</v>
      </c>
      <c r="J68" s="104">
        <f>Vale!E111</f>
        <v>40981</v>
      </c>
      <c r="K68" s="133">
        <f>Vale!F111</f>
        <v>34528</v>
      </c>
      <c r="L68" s="104"/>
      <c r="M68" s="118">
        <f>'Anglo American Platinum'!I72</f>
        <v>7147.3463687150834</v>
      </c>
      <c r="N68" s="104">
        <f>'Anglo American Platinum'!J72</f>
        <v>5959.5574677320219</v>
      </c>
      <c r="O68" s="104">
        <f>'Anglo American Platinum'!K72</f>
        <v>5306.8965517241377</v>
      </c>
      <c r="P68" s="133">
        <f>'Anglo American Platinum'!L72</f>
        <v>5613.6888400219896</v>
      </c>
      <c r="Q68" s="104"/>
      <c r="R68" s="118">
        <f>'Impala Platinum'!I66</f>
        <v>1479.6787709497207</v>
      </c>
      <c r="S68" s="104">
        <f>'Impala Platinum'!J66</f>
        <v>1418.5617701290719</v>
      </c>
      <c r="T68" s="104">
        <f>'Impala Platinum'!K66</f>
        <v>1369.708222811671</v>
      </c>
      <c r="U68" s="133">
        <f>'Impala Platinum'!L66</f>
        <v>1709.5107201759208</v>
      </c>
      <c r="V68" s="118"/>
      <c r="W68" s="303"/>
    </row>
    <row r="69" spans="2:23" ht="15.95">
      <c r="B69" s="176" t="s">
        <v>57</v>
      </c>
      <c r="C69" s="130">
        <f>C67/(C68+C67)</f>
        <v>0.82608695652173914</v>
      </c>
      <c r="D69" s="100">
        <f t="shared" ref="D69:F69" si="63">D67/(D68+D67)</f>
        <v>0.87353479853479854</v>
      </c>
      <c r="E69" s="100">
        <f t="shared" si="63"/>
        <v>0.84893793758158298</v>
      </c>
      <c r="F69" s="144">
        <f t="shared" si="63"/>
        <v>0.88333494161922221</v>
      </c>
      <c r="G69" s="115"/>
      <c r="H69" s="130">
        <f t="shared" ref="H69:P69" si="64">H67/(H68+H67)</f>
        <v>0.5244598890146005</v>
      </c>
      <c r="I69" s="100">
        <f t="shared" si="64"/>
        <v>0.48826760544087228</v>
      </c>
      <c r="J69" s="100">
        <f t="shared" si="64"/>
        <v>8.59800160585244E-2</v>
      </c>
      <c r="K69" s="144">
        <f t="shared" si="64"/>
        <v>0.48513316035907073</v>
      </c>
      <c r="L69" s="115"/>
      <c r="M69" s="130">
        <f t="shared" si="64"/>
        <v>0.17246788108116851</v>
      </c>
      <c r="N69" s="100">
        <f t="shared" si="64"/>
        <v>0.18421296179442526</v>
      </c>
      <c r="O69" s="100">
        <f t="shared" si="64"/>
        <v>0.18189178579606791</v>
      </c>
      <c r="P69" s="144">
        <f t="shared" si="64"/>
        <v>0.18856184739594095</v>
      </c>
      <c r="Q69" s="115"/>
      <c r="R69" s="130">
        <f t="shared" ref="R69:U69" si="65">R67/(R68+R67)</f>
        <v>0.4593953310371221</v>
      </c>
      <c r="S69" s="100">
        <f t="shared" si="65"/>
        <v>0.46683915082353483</v>
      </c>
      <c r="T69" s="100">
        <f t="shared" si="65"/>
        <v>0.49864072391160819</v>
      </c>
      <c r="U69" s="144">
        <f t="shared" si="65"/>
        <v>0.38523585465185239</v>
      </c>
      <c r="V69" s="155"/>
      <c r="W69" s="303" t="s">
        <v>58</v>
      </c>
    </row>
    <row r="70" spans="2:23" ht="15.95">
      <c r="B70" s="176" t="s">
        <v>59</v>
      </c>
      <c r="C70" s="130">
        <f>C68/(C68+C67)</f>
        <v>0.17391304347826086</v>
      </c>
      <c r="D70" s="100">
        <f t="shared" ref="D70:F70" si="66">D68/(D68+D67)</f>
        <v>0.12646520146520146</v>
      </c>
      <c r="E70" s="100">
        <f t="shared" si="66"/>
        <v>0.15106206241841699</v>
      </c>
      <c r="F70" s="144">
        <f t="shared" si="66"/>
        <v>0.11666505838077777</v>
      </c>
      <c r="G70" s="115"/>
      <c r="H70" s="130">
        <f t="shared" ref="H70:P70" si="67">H68/(H68+H67)</f>
        <v>0.4755401109853995</v>
      </c>
      <c r="I70" s="100">
        <f t="shared" si="67"/>
        <v>0.51173239455912767</v>
      </c>
      <c r="J70" s="100">
        <f t="shared" si="67"/>
        <v>0.91401998394147554</v>
      </c>
      <c r="K70" s="144">
        <f t="shared" si="67"/>
        <v>0.51486683964092927</v>
      </c>
      <c r="L70" s="115"/>
      <c r="M70" s="130">
        <f t="shared" si="67"/>
        <v>0.82753211891883149</v>
      </c>
      <c r="N70" s="100">
        <f t="shared" si="67"/>
        <v>0.81578703820557474</v>
      </c>
      <c r="O70" s="100">
        <f t="shared" si="67"/>
        <v>0.81810821420393209</v>
      </c>
      <c r="P70" s="144">
        <f t="shared" si="67"/>
        <v>0.81143815260405905</v>
      </c>
      <c r="Q70" s="115"/>
      <c r="R70" s="130">
        <f t="shared" ref="R70:U70" si="68">R68/(R68+R67)</f>
        <v>0.54060466896287795</v>
      </c>
      <c r="S70" s="100">
        <f t="shared" si="68"/>
        <v>0.53316084917646511</v>
      </c>
      <c r="T70" s="100">
        <f t="shared" si="68"/>
        <v>0.5013592760883917</v>
      </c>
      <c r="U70" s="144">
        <f t="shared" si="68"/>
        <v>0.61476414534814761</v>
      </c>
      <c r="V70" s="155"/>
      <c r="W70" s="303"/>
    </row>
    <row r="71" spans="2:23">
      <c r="B71" s="123" t="s">
        <v>60</v>
      </c>
      <c r="C71" s="118">
        <f>Норникель!C22</f>
        <v>9285</v>
      </c>
      <c r="D71" s="104">
        <f>Норникель!D22</f>
        <v>7379</v>
      </c>
      <c r="E71" s="104">
        <f>Норникель!E22</f>
        <v>3534</v>
      </c>
      <c r="F71" s="133">
        <f>Норникель!F22</f>
        <v>2404</v>
      </c>
      <c r="G71" s="104"/>
      <c r="H71" s="118">
        <f>Vale!C19</f>
        <v>29541</v>
      </c>
      <c r="I71" s="104">
        <f>Vale!D19</f>
        <v>19781</v>
      </c>
      <c r="J71" s="104">
        <f>Vale!E19</f>
        <v>11151</v>
      </c>
      <c r="K71" s="133">
        <f>Vale!F19</f>
        <v>6696</v>
      </c>
      <c r="L71" s="104"/>
      <c r="M71" s="118">
        <f>'Anglo American Platinum'!I21</f>
        <v>7033.181818181818</v>
      </c>
      <c r="N71" s="104">
        <f>'Anglo American Platinum'!J21</f>
        <v>4386.859395532194</v>
      </c>
      <c r="O71" s="104">
        <f>'Anglo American Platinum'!K21</f>
        <v>1019.0770962296004</v>
      </c>
      <c r="P71" s="133">
        <f>'Anglo American Platinum'!L21</f>
        <v>517.31694281133082</v>
      </c>
      <c r="Q71" s="104"/>
      <c r="R71" s="118">
        <f>'Impala Platinum'!I21</f>
        <v>3107.4675324675322</v>
      </c>
      <c r="S71" s="104">
        <f>'Impala Platinum'!J21</f>
        <v>2177.3324572930355</v>
      </c>
      <c r="T71" s="104">
        <f>'Impala Platinum'!K21</f>
        <v>347.66460326392797</v>
      </c>
      <c r="U71" s="133">
        <f>'Impala Platinum'!L21</f>
        <v>-916.67557455905933</v>
      </c>
      <c r="V71" s="118"/>
      <c r="W71" s="303"/>
    </row>
    <row r="72" spans="2:23">
      <c r="B72" s="123" t="s">
        <v>61</v>
      </c>
      <c r="C72" s="118">
        <f>Норникель!C21</f>
        <v>52</v>
      </c>
      <c r="D72" s="104">
        <f>Норникель!D21</f>
        <v>150</v>
      </c>
      <c r="E72" s="104">
        <f>Норникель!E21</f>
        <v>41</v>
      </c>
      <c r="F72" s="133">
        <f>Норникель!F21</f>
        <v>69</v>
      </c>
      <c r="G72" s="104"/>
      <c r="H72" s="118">
        <f>Vale!C15</f>
        <v>337</v>
      </c>
      <c r="I72" s="104">
        <f>Vale!D15</f>
        <v>520</v>
      </c>
      <c r="J72" s="104">
        <f>Vale!E15</f>
        <v>432</v>
      </c>
      <c r="K72" s="133">
        <f>Vale!F15</f>
        <v>422</v>
      </c>
      <c r="L72" s="104"/>
      <c r="M72" s="118">
        <f>'Anglo American Platinum'!I11</f>
        <v>46.298701298701296</v>
      </c>
      <c r="N72" s="104">
        <f>'Anglo American Platinum'!J11</f>
        <v>63.863337713534818</v>
      </c>
      <c r="O72" s="104">
        <f>'Anglo American Platinum'!K11</f>
        <v>67.416994935284194</v>
      </c>
      <c r="P72" s="133">
        <f>'Anglo American Platinum'!L11</f>
        <v>52.592196686264025</v>
      </c>
      <c r="Q72" s="104"/>
      <c r="R72" s="118">
        <f>'Impala Platinum'!I15</f>
        <v>49.870129870129873</v>
      </c>
      <c r="S72" s="104">
        <f>'Impala Platinum'!J15</f>
        <v>52.890932982917214</v>
      </c>
      <c r="T72" s="104">
        <f>'Impala Platinum'!K15</f>
        <v>100.84411930219471</v>
      </c>
      <c r="U72" s="133">
        <f>'Impala Platinum'!L15</f>
        <v>57.509353287012289</v>
      </c>
      <c r="V72" s="118"/>
      <c r="W72" s="303"/>
    </row>
    <row r="73" spans="2:23">
      <c r="B73" s="123" t="s">
        <v>62</v>
      </c>
      <c r="C73" s="118">
        <f>Норникель!C19</f>
        <v>-279</v>
      </c>
      <c r="D73" s="104">
        <f>Норникель!D19</f>
        <v>-493</v>
      </c>
      <c r="E73" s="104">
        <f>Норникель!E19</f>
        <v>-567</v>
      </c>
      <c r="F73" s="133">
        <f>Норникель!F19</f>
        <v>-896</v>
      </c>
      <c r="G73" s="104"/>
      <c r="H73" s="118">
        <f>Vale!C16</f>
        <v>-1249</v>
      </c>
      <c r="I73" s="104">
        <f>Vale!D16</f>
        <v>-1179</v>
      </c>
      <c r="J73" s="104">
        <f>Vale!E16</f>
        <v>-1459</v>
      </c>
      <c r="K73" s="133">
        <f>Vale!F16</f>
        <v>-1473</v>
      </c>
      <c r="L73" s="104"/>
      <c r="M73" s="118">
        <f>'Anglo American Platinum'!I16</f>
        <v>-23.18181818181818</v>
      </c>
      <c r="N73" s="104">
        <f>'Anglo American Platinum'!J16</f>
        <v>-25.09855453350854</v>
      </c>
      <c r="O73" s="104">
        <f>'Anglo American Platinum'!K16</f>
        <v>-36.29712999437254</v>
      </c>
      <c r="P73" s="133">
        <f>'Anglo American Platinum'!L16</f>
        <v>-61.036878674505608</v>
      </c>
      <c r="Q73" s="104"/>
      <c r="R73" s="118">
        <f>'Impala Platinum'!I16</f>
        <v>-61.428571428571431</v>
      </c>
      <c r="S73" s="105">
        <f>'Impala Platinum'!J16</f>
        <v>-36.925098554533506</v>
      </c>
      <c r="T73" s="105">
        <f>'Impala Platinum'!K16</f>
        <v>-34.608891389983121</v>
      </c>
      <c r="U73" s="133">
        <f>'Impala Platinum'!L16</f>
        <v>-51.309460181721001</v>
      </c>
      <c r="V73" s="118"/>
      <c r="W73" s="303"/>
    </row>
    <row r="74" spans="2:23" ht="15.95">
      <c r="B74" s="176" t="s">
        <v>63</v>
      </c>
      <c r="C74" s="131">
        <f>C71+C72+C73</f>
        <v>9058</v>
      </c>
      <c r="D74" s="115">
        <f>D71+D72+D73</f>
        <v>7036</v>
      </c>
      <c r="E74" s="115">
        <f>E71+E72+E73</f>
        <v>3008</v>
      </c>
      <c r="F74" s="145">
        <f>F71+F72+F73</f>
        <v>1577</v>
      </c>
      <c r="G74" s="115"/>
      <c r="H74" s="155">
        <f t="shared" ref="H74:U74" si="69">H71+H72+H73</f>
        <v>28629</v>
      </c>
      <c r="I74" s="115">
        <f t="shared" si="69"/>
        <v>19122</v>
      </c>
      <c r="J74" s="115">
        <f t="shared" si="69"/>
        <v>10124</v>
      </c>
      <c r="K74" s="145">
        <f t="shared" si="69"/>
        <v>5645</v>
      </c>
      <c r="L74" s="115"/>
      <c r="M74" s="155">
        <f t="shared" si="69"/>
        <v>7056.2987012987014</v>
      </c>
      <c r="N74" s="115">
        <f t="shared" si="69"/>
        <v>4425.6241787122199</v>
      </c>
      <c r="O74" s="115">
        <f t="shared" si="69"/>
        <v>1050.1969611705122</v>
      </c>
      <c r="P74" s="145">
        <f t="shared" si="69"/>
        <v>508.87226082308928</v>
      </c>
      <c r="Q74" s="115"/>
      <c r="R74" s="155">
        <f t="shared" si="69"/>
        <v>3095.9090909090905</v>
      </c>
      <c r="S74" s="115">
        <f t="shared" si="69"/>
        <v>2193.298291721419</v>
      </c>
      <c r="T74" s="115">
        <f t="shared" si="69"/>
        <v>413.89983117613957</v>
      </c>
      <c r="U74" s="145">
        <f t="shared" si="69"/>
        <v>-910.47568145376806</v>
      </c>
      <c r="V74" s="155"/>
      <c r="W74" s="303"/>
    </row>
    <row r="75" spans="2:23" ht="15.95">
      <c r="B75" s="177" t="s">
        <v>64</v>
      </c>
      <c r="C75" s="190">
        <f>ABS(C74/C73)</f>
        <v>32.465949820788531</v>
      </c>
      <c r="D75" s="191">
        <f>ABS(D74/D73)</f>
        <v>14.271805273833671</v>
      </c>
      <c r="E75" s="191">
        <f>ABS(E74/E73)</f>
        <v>5.3051146384479715</v>
      </c>
      <c r="F75" s="192">
        <f>ABS(F74/F73)</f>
        <v>1.7600446428571428</v>
      </c>
      <c r="G75" s="171"/>
      <c r="H75" s="190">
        <f>ABS(H74/H73)</f>
        <v>22.921537229783826</v>
      </c>
      <c r="I75" s="191">
        <f>ABS(I74/I73)</f>
        <v>16.21882951653944</v>
      </c>
      <c r="J75" s="191">
        <f>ABS(J74/J73)</f>
        <v>6.9389993145990401</v>
      </c>
      <c r="K75" s="192">
        <f>ABS(K74/K73)</f>
        <v>3.8323150033944331</v>
      </c>
      <c r="L75" s="172"/>
      <c r="M75" s="190">
        <f>ABS(M74/M73)</f>
        <v>304.38935574229697</v>
      </c>
      <c r="N75" s="191">
        <f>ABS(N74/N73)</f>
        <v>176.32984293193715</v>
      </c>
      <c r="O75" s="191">
        <f>ABS(O74/O73)</f>
        <v>28.933333333333334</v>
      </c>
      <c r="P75" s="192">
        <f>ABS(P74/P73)</f>
        <v>8.3371278458844138</v>
      </c>
      <c r="Q75" s="172"/>
      <c r="R75" s="190">
        <f>ABS(R74/R73)</f>
        <v>50.398520084566591</v>
      </c>
      <c r="S75" s="191">
        <f>ABS(S74/S73)</f>
        <v>59.398576512455513</v>
      </c>
      <c r="T75" s="191">
        <f>ABS(T74/T73)</f>
        <v>11.959349593495935</v>
      </c>
      <c r="U75" s="192">
        <f>ABS(U74/U73)</f>
        <v>17.744791666666668</v>
      </c>
      <c r="V75" s="171"/>
      <c r="W75" s="304" t="s">
        <v>65</v>
      </c>
    </row>
  </sheetData>
  <mergeCells count="11">
    <mergeCell ref="W2:W3"/>
    <mergeCell ref="V2:V3"/>
    <mergeCell ref="B2:B3"/>
    <mergeCell ref="R2:U2"/>
    <mergeCell ref="B1:E1"/>
    <mergeCell ref="C2:F2"/>
    <mergeCell ref="H2:K2"/>
    <mergeCell ref="M2:P2"/>
    <mergeCell ref="G2:G3"/>
    <mergeCell ref="L2:L3"/>
    <mergeCell ref="Q2:Q3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0ADBC204-540A-CF4C-B571-7B61BC57EFC2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Коэффициенты!R9:U9</xm:f>
              <xm:sqref>V9</xm:sqref>
            </x14:sparkline>
            <x14:sparkline>
              <xm:f>Коэффициенты!R10:U10</xm:f>
              <xm:sqref>V10</xm:sqref>
            </x14:sparkline>
            <x14:sparkline>
              <xm:f>Коэффициенты!R11:U11</xm:f>
              <xm:sqref>V11</xm:sqref>
            </x14:sparkline>
            <x14:sparkline>
              <xm:f>Коэффициенты!R12:U12</xm:f>
              <xm:sqref>V12</xm:sqref>
            </x14:sparkline>
            <x14:sparkline>
              <xm:f>Коэффициенты!R13:U13</xm:f>
              <xm:sqref>V13</xm:sqref>
            </x14:sparkline>
            <x14:sparkline>
              <xm:f>Коэффициенты!R14:U14</xm:f>
              <xm:sqref>V14</xm:sqref>
            </x14:sparkline>
            <x14:sparkline>
              <xm:f>Коэффициенты!R15:U15</xm:f>
              <xm:sqref>V15</xm:sqref>
            </x14:sparkline>
            <x14:sparkline>
              <xm:f>Коэффициенты!R16:U16</xm:f>
              <xm:sqref>V16</xm:sqref>
            </x14:sparkline>
            <x14:sparkline>
              <xm:f>Коэффициенты!R17:U17</xm:f>
              <xm:sqref>V17</xm:sqref>
            </x14:sparkline>
            <x14:sparkline>
              <xm:f>Коэффициенты!R18:U18</xm:f>
              <xm:sqref>V18</xm:sqref>
            </x14:sparkline>
            <x14:sparkline>
              <xm:f>Коэффициенты!R19:U19</xm:f>
              <xm:sqref>V19</xm:sqref>
            </x14:sparkline>
            <x14:sparkline>
              <xm:f>Коэффициенты!R20:U20</xm:f>
              <xm:sqref>V20</xm:sqref>
            </x14:sparkline>
            <x14:sparkline>
              <xm:f>Коэффициенты!R21:U21</xm:f>
              <xm:sqref>V21</xm:sqref>
            </x14:sparkline>
            <x14:sparkline>
              <xm:f>Коэффициенты!R22:U22</xm:f>
              <xm:sqref>V22</xm:sqref>
            </x14:sparkline>
            <x14:sparkline>
              <xm:f>Коэффициенты!R23:U23</xm:f>
              <xm:sqref>V23</xm:sqref>
            </x14:sparkline>
            <x14:sparkline>
              <xm:f>Коэффициенты!R24:U24</xm:f>
              <xm:sqref>V24</xm:sqref>
            </x14:sparkline>
            <x14:sparkline>
              <xm:f>Коэффициенты!R25:U25</xm:f>
              <xm:sqref>V25</xm:sqref>
            </x14:sparkline>
            <x14:sparkline>
              <xm:f>Коэффициенты!R26:U26</xm:f>
              <xm:sqref>V26</xm:sqref>
            </x14:sparkline>
            <x14:sparkline>
              <xm:f>Коэффициенты!R27:U27</xm:f>
              <xm:sqref>V27</xm:sqref>
            </x14:sparkline>
            <x14:sparkline>
              <xm:f>Коэффициенты!R28:U28</xm:f>
              <xm:sqref>V28</xm:sqref>
            </x14:sparkline>
            <x14:sparkline>
              <xm:f>Коэффициенты!R29:U29</xm:f>
              <xm:sqref>V29</xm:sqref>
            </x14:sparkline>
            <x14:sparkline>
              <xm:f>Коэффициенты!R30:U30</xm:f>
              <xm:sqref>V30</xm:sqref>
            </x14:sparkline>
            <x14:sparkline>
              <xm:f>Коэффициенты!R31:U31</xm:f>
              <xm:sqref>V31</xm:sqref>
            </x14:sparkline>
            <x14:sparkline>
              <xm:f>Коэффициенты!R32:U32</xm:f>
              <xm:sqref>V32</xm:sqref>
            </x14:sparkline>
            <x14:sparkline>
              <xm:f>Коэффициенты!R33:U33</xm:f>
              <xm:sqref>V33</xm:sqref>
            </x14:sparkline>
            <x14:sparkline>
              <xm:f>Коэффициенты!R35:U35</xm:f>
              <xm:sqref>V35</xm:sqref>
            </x14:sparkline>
            <x14:sparkline>
              <xm:f>Коэффициенты!R36:U36</xm:f>
              <xm:sqref>V36</xm:sqref>
            </x14:sparkline>
            <x14:sparkline>
              <xm:f>Коэффициенты!R37:U37</xm:f>
              <xm:sqref>V37</xm:sqref>
            </x14:sparkline>
            <x14:sparkline>
              <xm:f>Коэффициенты!R38:U38</xm:f>
              <xm:sqref>V38</xm:sqref>
            </x14:sparkline>
            <x14:sparkline>
              <xm:f>Коэффициенты!R39:U39</xm:f>
              <xm:sqref>V39</xm:sqref>
            </x14:sparkline>
            <x14:sparkline>
              <xm:f>Коэффициенты!R40:U40</xm:f>
              <xm:sqref>V40</xm:sqref>
            </x14:sparkline>
            <x14:sparkline>
              <xm:f>Коэффициенты!R41:U41</xm:f>
              <xm:sqref>V41</xm:sqref>
            </x14:sparkline>
            <x14:sparkline>
              <xm:f>Коэффициенты!R42:U42</xm:f>
              <xm:sqref>V42</xm:sqref>
            </x14:sparkline>
            <x14:sparkline>
              <xm:f>Коэффициенты!R43:U43</xm:f>
              <xm:sqref>V43</xm:sqref>
            </x14:sparkline>
            <x14:sparkline>
              <xm:f>Коэффициенты!R44:U44</xm:f>
              <xm:sqref>V44</xm:sqref>
            </x14:sparkline>
            <x14:sparkline>
              <xm:f>Коэффициенты!R45:U45</xm:f>
              <xm:sqref>V45</xm:sqref>
            </x14:sparkline>
            <x14:sparkline>
              <xm:f>Коэффициенты!R46:U46</xm:f>
              <xm:sqref>V46</xm:sqref>
            </x14:sparkline>
            <x14:sparkline>
              <xm:f>Коэффициенты!R47:U47</xm:f>
              <xm:sqref>V47</xm:sqref>
            </x14:sparkline>
            <x14:sparkline>
              <xm:f>Коэффициенты!R48:U48</xm:f>
              <xm:sqref>V48</xm:sqref>
            </x14:sparkline>
            <x14:sparkline>
              <xm:f>Коэффициенты!R49:U49</xm:f>
              <xm:sqref>V49</xm:sqref>
            </x14:sparkline>
            <x14:sparkline>
              <xm:f>Коэффициенты!R50:U50</xm:f>
              <xm:sqref>V50</xm:sqref>
            </x14:sparkline>
            <x14:sparkline>
              <xm:f>Коэффициенты!R51:U51</xm:f>
              <xm:sqref>V51</xm:sqref>
            </x14:sparkline>
            <x14:sparkline>
              <xm:f>Коэффициенты!R52:U52</xm:f>
              <xm:sqref>V52</xm:sqref>
            </x14:sparkline>
            <x14:sparkline>
              <xm:f>Коэффициенты!R53:U53</xm:f>
              <xm:sqref>V53</xm:sqref>
            </x14:sparkline>
            <x14:sparkline>
              <xm:f>Коэффициенты!R54:U54</xm:f>
              <xm:sqref>V54</xm:sqref>
            </x14:sparkline>
            <x14:sparkline>
              <xm:f>Коэффициенты!R59:U59</xm:f>
              <xm:sqref>V59</xm:sqref>
            </x14:sparkline>
            <x14:sparkline>
              <xm:f>Коэффициенты!R60:U60</xm:f>
              <xm:sqref>V60</xm:sqref>
            </x14:sparkline>
            <x14:sparkline>
              <xm:f>Коэффициенты!R61:U61</xm:f>
              <xm:sqref>V61</xm:sqref>
            </x14:sparkline>
            <x14:sparkline>
              <xm:f>Коэффициенты!R62:U62</xm:f>
              <xm:sqref>V62</xm:sqref>
            </x14:sparkline>
            <x14:sparkline>
              <xm:f>Коэффициенты!R63:U63</xm:f>
              <xm:sqref>V63</xm:sqref>
            </x14:sparkline>
            <x14:sparkline>
              <xm:f>Коэффициенты!R64:U64</xm:f>
              <xm:sqref>V64</xm:sqref>
            </x14:sparkline>
            <x14:sparkline>
              <xm:f>Коэффициенты!R65:U65</xm:f>
              <xm:sqref>V65</xm:sqref>
            </x14:sparkline>
            <x14:sparkline>
              <xm:f>Коэффициенты!R66:U66</xm:f>
              <xm:sqref>V66</xm:sqref>
            </x14:sparkline>
            <x14:sparkline>
              <xm:f>Коэффициенты!R67:U67</xm:f>
              <xm:sqref>V67</xm:sqref>
            </x14:sparkline>
            <x14:sparkline>
              <xm:f>Коэффициенты!R68:U68</xm:f>
              <xm:sqref>V68</xm:sqref>
            </x14:sparkline>
            <x14:sparkline>
              <xm:f>Коэффициенты!R69:U69</xm:f>
              <xm:sqref>V69</xm:sqref>
            </x14:sparkline>
            <x14:sparkline>
              <xm:f>Коэффициенты!R70:U70</xm:f>
              <xm:sqref>V70</xm:sqref>
            </x14:sparkline>
            <x14:sparkline>
              <xm:f>Коэффициенты!R71:U71</xm:f>
              <xm:sqref>V71</xm:sqref>
            </x14:sparkline>
            <x14:sparkline>
              <xm:f>Коэффициенты!R72:U72</xm:f>
              <xm:sqref>V72</xm:sqref>
            </x14:sparkline>
            <x14:sparkline>
              <xm:f>Коэффициенты!R73:U73</xm:f>
              <xm:sqref>V73</xm:sqref>
            </x14:sparkline>
            <x14:sparkline>
              <xm:f>Коэффициенты!R74:U74</xm:f>
              <xm:sqref>V74</xm:sqref>
            </x14:sparkline>
            <x14:sparkline>
              <xm:f>Коэффициенты!R75:U75</xm:f>
              <xm:sqref>V75</xm:sqref>
            </x14:sparkline>
          </x14:sparklines>
        </x14:sparklineGroup>
        <x14:sparklineGroup displayEmptyCellsAs="gap" markers="1" xr2:uid="{34582C50-8D96-7042-951D-F7C7BE52ED0D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Коэффициенты!C9:F9</xm:f>
              <xm:sqref>G9</xm:sqref>
            </x14:sparkline>
            <x14:sparkline>
              <xm:f>Коэффициенты!C10:F10</xm:f>
              <xm:sqref>G10</xm:sqref>
            </x14:sparkline>
            <x14:sparkline>
              <xm:f>Коэффициенты!C11:F11</xm:f>
              <xm:sqref>G11</xm:sqref>
            </x14:sparkline>
            <x14:sparkline>
              <xm:f>Коэффициенты!C12:F12</xm:f>
              <xm:sqref>G12</xm:sqref>
            </x14:sparkline>
            <x14:sparkline>
              <xm:f>Коэффициенты!C13:F13</xm:f>
              <xm:sqref>G13</xm:sqref>
            </x14:sparkline>
            <x14:sparkline>
              <xm:f>Коэффициенты!C14:F14</xm:f>
              <xm:sqref>G14</xm:sqref>
            </x14:sparkline>
            <x14:sparkline>
              <xm:f>Коэффициенты!C15:F15</xm:f>
              <xm:sqref>G15</xm:sqref>
            </x14:sparkline>
            <x14:sparkline>
              <xm:f>Коэффициенты!C16:F16</xm:f>
              <xm:sqref>G16</xm:sqref>
            </x14:sparkline>
            <x14:sparkline>
              <xm:f>Коэффициенты!C17:F17</xm:f>
              <xm:sqref>G17</xm:sqref>
            </x14:sparkline>
            <x14:sparkline>
              <xm:f>Коэффициенты!C18:F18</xm:f>
              <xm:sqref>G18</xm:sqref>
            </x14:sparkline>
            <x14:sparkline>
              <xm:f>Коэффициенты!C19:F19</xm:f>
              <xm:sqref>G19</xm:sqref>
            </x14:sparkline>
            <x14:sparkline>
              <xm:f>Коэффициенты!C20:F20</xm:f>
              <xm:sqref>G20</xm:sqref>
            </x14:sparkline>
            <x14:sparkline>
              <xm:f>Коэффициенты!C21:F21</xm:f>
              <xm:sqref>G21</xm:sqref>
            </x14:sparkline>
            <x14:sparkline>
              <xm:f>Коэффициенты!C22:F22</xm:f>
              <xm:sqref>G22</xm:sqref>
            </x14:sparkline>
            <x14:sparkline>
              <xm:f>Коэффициенты!C23:F23</xm:f>
              <xm:sqref>G23</xm:sqref>
            </x14:sparkline>
            <x14:sparkline>
              <xm:f>Коэффициенты!C24:F24</xm:f>
              <xm:sqref>G24</xm:sqref>
            </x14:sparkline>
            <x14:sparkline>
              <xm:f>Коэффициенты!C25:F25</xm:f>
              <xm:sqref>G25</xm:sqref>
            </x14:sparkline>
            <x14:sparkline>
              <xm:f>Коэффициенты!C26:F26</xm:f>
              <xm:sqref>G26</xm:sqref>
            </x14:sparkline>
            <x14:sparkline>
              <xm:f>Коэффициенты!C27:F27</xm:f>
              <xm:sqref>G27</xm:sqref>
            </x14:sparkline>
            <x14:sparkline>
              <xm:f>Коэффициенты!C28:F28</xm:f>
              <xm:sqref>G28</xm:sqref>
            </x14:sparkline>
            <x14:sparkline>
              <xm:f>Коэффициенты!C29:F29</xm:f>
              <xm:sqref>G29</xm:sqref>
            </x14:sparkline>
            <x14:sparkline>
              <xm:f>Коэффициенты!C30:F30</xm:f>
              <xm:sqref>G30</xm:sqref>
            </x14:sparkline>
            <x14:sparkline>
              <xm:f>Коэффициенты!C31:F31</xm:f>
              <xm:sqref>G31</xm:sqref>
            </x14:sparkline>
            <x14:sparkline>
              <xm:f>Коэффициенты!C32:F32</xm:f>
              <xm:sqref>G32</xm:sqref>
            </x14:sparkline>
            <x14:sparkline>
              <xm:f>Коэффициенты!C33:F33</xm:f>
              <xm:sqref>G33</xm:sqref>
            </x14:sparkline>
            <x14:sparkline>
              <xm:f>Коэффициенты!C35:F35</xm:f>
              <xm:sqref>G35</xm:sqref>
            </x14:sparkline>
            <x14:sparkline>
              <xm:f>Коэффициенты!C36:F36</xm:f>
              <xm:sqref>G36</xm:sqref>
            </x14:sparkline>
            <x14:sparkline>
              <xm:f>Коэффициенты!C37:F37</xm:f>
              <xm:sqref>G37</xm:sqref>
            </x14:sparkline>
            <x14:sparkline>
              <xm:f>Коэффициенты!C38:F38</xm:f>
              <xm:sqref>G38</xm:sqref>
            </x14:sparkline>
            <x14:sparkline>
              <xm:f>Коэффициенты!C39:F39</xm:f>
              <xm:sqref>G39</xm:sqref>
            </x14:sparkline>
            <x14:sparkline>
              <xm:f>Коэффициенты!C40:F40</xm:f>
              <xm:sqref>G40</xm:sqref>
            </x14:sparkline>
            <x14:sparkline>
              <xm:f>Коэффициенты!C41:F41</xm:f>
              <xm:sqref>G41</xm:sqref>
            </x14:sparkline>
            <x14:sparkline>
              <xm:f>Коэффициенты!C42:F42</xm:f>
              <xm:sqref>G42</xm:sqref>
            </x14:sparkline>
            <x14:sparkline>
              <xm:f>Коэффициенты!C43:F43</xm:f>
              <xm:sqref>G43</xm:sqref>
            </x14:sparkline>
            <x14:sparkline>
              <xm:f>Коэффициенты!C44:F44</xm:f>
              <xm:sqref>G44</xm:sqref>
            </x14:sparkline>
            <x14:sparkline>
              <xm:f>Коэффициенты!C45:F45</xm:f>
              <xm:sqref>G45</xm:sqref>
            </x14:sparkline>
            <x14:sparkline>
              <xm:f>Коэффициенты!C46:F46</xm:f>
              <xm:sqref>G46</xm:sqref>
            </x14:sparkline>
            <x14:sparkline>
              <xm:f>Коэффициенты!C47:F47</xm:f>
              <xm:sqref>G47</xm:sqref>
            </x14:sparkline>
            <x14:sparkline>
              <xm:f>Коэффициенты!C48:F48</xm:f>
              <xm:sqref>G48</xm:sqref>
            </x14:sparkline>
            <x14:sparkline>
              <xm:f>Коэффициенты!C49:F49</xm:f>
              <xm:sqref>G49</xm:sqref>
            </x14:sparkline>
            <x14:sparkline>
              <xm:f>Коэффициенты!C50:F50</xm:f>
              <xm:sqref>G50</xm:sqref>
            </x14:sparkline>
            <x14:sparkline>
              <xm:f>Коэффициенты!C51:F51</xm:f>
              <xm:sqref>G51</xm:sqref>
            </x14:sparkline>
            <x14:sparkline>
              <xm:f>Коэффициенты!C52:F52</xm:f>
              <xm:sqref>G52</xm:sqref>
            </x14:sparkline>
            <x14:sparkline>
              <xm:f>Коэффициенты!C53:F53</xm:f>
              <xm:sqref>G53</xm:sqref>
            </x14:sparkline>
            <x14:sparkline>
              <xm:f>Коэффициенты!C54:F54</xm:f>
              <xm:sqref>G54</xm:sqref>
            </x14:sparkline>
            <x14:sparkline>
              <xm:f>Коэффициенты!C59:F59</xm:f>
              <xm:sqref>G59</xm:sqref>
            </x14:sparkline>
            <x14:sparkline>
              <xm:f>Коэффициенты!C60:F60</xm:f>
              <xm:sqref>G60</xm:sqref>
            </x14:sparkline>
            <x14:sparkline>
              <xm:f>Коэффициенты!C61:F61</xm:f>
              <xm:sqref>G61</xm:sqref>
            </x14:sparkline>
            <x14:sparkline>
              <xm:f>Коэффициенты!C62:F62</xm:f>
              <xm:sqref>G62</xm:sqref>
            </x14:sparkline>
            <x14:sparkline>
              <xm:f>Коэффициенты!C63:F63</xm:f>
              <xm:sqref>G63</xm:sqref>
            </x14:sparkline>
            <x14:sparkline>
              <xm:f>Коэффициенты!C64:F64</xm:f>
              <xm:sqref>G64</xm:sqref>
            </x14:sparkline>
            <x14:sparkline>
              <xm:f>Коэффициенты!C65:F65</xm:f>
              <xm:sqref>G65</xm:sqref>
            </x14:sparkline>
            <x14:sparkline>
              <xm:f>Коэффициенты!C66:F66</xm:f>
              <xm:sqref>G66</xm:sqref>
            </x14:sparkline>
            <x14:sparkline>
              <xm:f>Коэффициенты!C67:F67</xm:f>
              <xm:sqref>G67</xm:sqref>
            </x14:sparkline>
            <x14:sparkline>
              <xm:f>Коэффициенты!C68:F68</xm:f>
              <xm:sqref>G68</xm:sqref>
            </x14:sparkline>
            <x14:sparkline>
              <xm:f>Коэффициенты!C69:F69</xm:f>
              <xm:sqref>G69</xm:sqref>
            </x14:sparkline>
            <x14:sparkline>
              <xm:f>Коэффициенты!C70:F70</xm:f>
              <xm:sqref>G70</xm:sqref>
            </x14:sparkline>
            <x14:sparkline>
              <xm:f>Коэффициенты!C71:F71</xm:f>
              <xm:sqref>G71</xm:sqref>
            </x14:sparkline>
            <x14:sparkline>
              <xm:f>Коэффициенты!C72:F72</xm:f>
              <xm:sqref>G72</xm:sqref>
            </x14:sparkline>
            <x14:sparkline>
              <xm:f>Коэффициенты!C73:F73</xm:f>
              <xm:sqref>G73</xm:sqref>
            </x14:sparkline>
            <x14:sparkline>
              <xm:f>Коэффициенты!C74:F74</xm:f>
              <xm:sqref>G74</xm:sqref>
            </x14:sparkline>
            <x14:sparkline>
              <xm:f>Коэффициенты!C75:F75</xm:f>
              <xm:sqref>G75</xm:sqref>
            </x14:sparkline>
          </x14:sparklines>
        </x14:sparklineGroup>
        <x14:sparklineGroup displayEmptyCellsAs="gap" markers="1" xr2:uid="{53624BB9-E434-D14A-905B-0C508D661602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Коэффициенты!H9:K9</xm:f>
              <xm:sqref>L9</xm:sqref>
            </x14:sparkline>
            <x14:sparkline>
              <xm:f>Коэффициенты!H10:K10</xm:f>
              <xm:sqref>L10</xm:sqref>
            </x14:sparkline>
            <x14:sparkline>
              <xm:f>Коэффициенты!H11:K11</xm:f>
              <xm:sqref>L11</xm:sqref>
            </x14:sparkline>
            <x14:sparkline>
              <xm:f>Коэффициенты!H12:K12</xm:f>
              <xm:sqref>L12</xm:sqref>
            </x14:sparkline>
            <x14:sparkline>
              <xm:f>Коэффициенты!H13:K13</xm:f>
              <xm:sqref>L13</xm:sqref>
            </x14:sparkline>
            <x14:sparkline>
              <xm:f>Коэффициенты!H14:K14</xm:f>
              <xm:sqref>L14</xm:sqref>
            </x14:sparkline>
            <x14:sparkline>
              <xm:f>Коэффициенты!H15:K15</xm:f>
              <xm:sqref>L15</xm:sqref>
            </x14:sparkline>
            <x14:sparkline>
              <xm:f>Коэффициенты!H16:K16</xm:f>
              <xm:sqref>L16</xm:sqref>
            </x14:sparkline>
            <x14:sparkline>
              <xm:f>Коэффициенты!H17:K17</xm:f>
              <xm:sqref>L17</xm:sqref>
            </x14:sparkline>
            <x14:sparkline>
              <xm:f>Коэффициенты!H18:K18</xm:f>
              <xm:sqref>L18</xm:sqref>
            </x14:sparkline>
            <x14:sparkline>
              <xm:f>Коэффициенты!H19:K19</xm:f>
              <xm:sqref>L19</xm:sqref>
            </x14:sparkline>
            <x14:sparkline>
              <xm:f>Коэффициенты!H20:K20</xm:f>
              <xm:sqref>L20</xm:sqref>
            </x14:sparkline>
            <x14:sparkline>
              <xm:f>Коэффициенты!H21:K21</xm:f>
              <xm:sqref>L21</xm:sqref>
            </x14:sparkline>
            <x14:sparkline>
              <xm:f>Коэффициенты!H22:K22</xm:f>
              <xm:sqref>L22</xm:sqref>
            </x14:sparkline>
            <x14:sparkline>
              <xm:f>Коэффициенты!H23:K23</xm:f>
              <xm:sqref>L23</xm:sqref>
            </x14:sparkline>
            <x14:sparkline>
              <xm:f>Коэффициенты!H24:K24</xm:f>
              <xm:sqref>L24</xm:sqref>
            </x14:sparkline>
            <x14:sparkline>
              <xm:f>Коэффициенты!H25:K25</xm:f>
              <xm:sqref>L25</xm:sqref>
            </x14:sparkline>
            <x14:sparkline>
              <xm:f>Коэффициенты!H26:K26</xm:f>
              <xm:sqref>L26</xm:sqref>
            </x14:sparkline>
            <x14:sparkline>
              <xm:f>Коэффициенты!H27:K27</xm:f>
              <xm:sqref>L27</xm:sqref>
            </x14:sparkline>
            <x14:sparkline>
              <xm:f>Коэффициенты!H28:K28</xm:f>
              <xm:sqref>L28</xm:sqref>
            </x14:sparkline>
            <x14:sparkline>
              <xm:f>Коэффициенты!H29:K29</xm:f>
              <xm:sqref>L29</xm:sqref>
            </x14:sparkline>
            <x14:sparkline>
              <xm:f>Коэффициенты!H30:K30</xm:f>
              <xm:sqref>L30</xm:sqref>
            </x14:sparkline>
            <x14:sparkline>
              <xm:f>Коэффициенты!H31:K31</xm:f>
              <xm:sqref>L31</xm:sqref>
            </x14:sparkline>
            <x14:sparkline>
              <xm:f>Коэффициенты!H32:K32</xm:f>
              <xm:sqref>L32</xm:sqref>
            </x14:sparkline>
            <x14:sparkline>
              <xm:f>Коэффициенты!H33:K33</xm:f>
              <xm:sqref>L33</xm:sqref>
            </x14:sparkline>
            <x14:sparkline>
              <xm:f>Коэффициенты!H35:K35</xm:f>
              <xm:sqref>L35</xm:sqref>
            </x14:sparkline>
            <x14:sparkline>
              <xm:f>Коэффициенты!H36:K36</xm:f>
              <xm:sqref>L36</xm:sqref>
            </x14:sparkline>
            <x14:sparkline>
              <xm:f>Коэффициенты!H37:K37</xm:f>
              <xm:sqref>L37</xm:sqref>
            </x14:sparkline>
            <x14:sparkline>
              <xm:f>Коэффициенты!H38:K38</xm:f>
              <xm:sqref>L38</xm:sqref>
            </x14:sparkline>
            <x14:sparkline>
              <xm:f>Коэффициенты!H39:K39</xm:f>
              <xm:sqref>L39</xm:sqref>
            </x14:sparkline>
            <x14:sparkline>
              <xm:f>Коэффициенты!H40:K40</xm:f>
              <xm:sqref>L40</xm:sqref>
            </x14:sparkline>
            <x14:sparkline>
              <xm:f>Коэффициенты!H41:K41</xm:f>
              <xm:sqref>L41</xm:sqref>
            </x14:sparkline>
            <x14:sparkline>
              <xm:f>Коэффициенты!H42:K42</xm:f>
              <xm:sqref>L42</xm:sqref>
            </x14:sparkline>
            <x14:sparkline>
              <xm:f>Коэффициенты!H43:K43</xm:f>
              <xm:sqref>L43</xm:sqref>
            </x14:sparkline>
            <x14:sparkline>
              <xm:f>Коэффициенты!H44:K44</xm:f>
              <xm:sqref>L44</xm:sqref>
            </x14:sparkline>
            <x14:sparkline>
              <xm:f>Коэффициенты!H45:K45</xm:f>
              <xm:sqref>L45</xm:sqref>
            </x14:sparkline>
            <x14:sparkline>
              <xm:f>Коэффициенты!H46:K46</xm:f>
              <xm:sqref>L46</xm:sqref>
            </x14:sparkline>
            <x14:sparkline>
              <xm:f>Коэффициенты!H47:K47</xm:f>
              <xm:sqref>L47</xm:sqref>
            </x14:sparkline>
            <x14:sparkline>
              <xm:f>Коэффициенты!H48:K48</xm:f>
              <xm:sqref>L48</xm:sqref>
            </x14:sparkline>
            <x14:sparkline>
              <xm:f>Коэффициенты!H49:K49</xm:f>
              <xm:sqref>L49</xm:sqref>
            </x14:sparkline>
            <x14:sparkline>
              <xm:f>Коэффициенты!H50:K50</xm:f>
              <xm:sqref>L50</xm:sqref>
            </x14:sparkline>
            <x14:sparkline>
              <xm:f>Коэффициенты!H51:K51</xm:f>
              <xm:sqref>L51</xm:sqref>
            </x14:sparkline>
            <x14:sparkline>
              <xm:f>Коэффициенты!H52:K52</xm:f>
              <xm:sqref>L52</xm:sqref>
            </x14:sparkline>
            <x14:sparkline>
              <xm:f>Коэффициенты!H53:K53</xm:f>
              <xm:sqref>L53</xm:sqref>
            </x14:sparkline>
            <x14:sparkline>
              <xm:f>Коэффициенты!H54:K54</xm:f>
              <xm:sqref>L54</xm:sqref>
            </x14:sparkline>
            <x14:sparkline>
              <xm:f>Коэффициенты!H59:K59</xm:f>
              <xm:sqref>L59</xm:sqref>
            </x14:sparkline>
            <x14:sparkline>
              <xm:f>Коэффициенты!H60:K60</xm:f>
              <xm:sqref>L60</xm:sqref>
            </x14:sparkline>
            <x14:sparkline>
              <xm:f>Коэффициенты!H61:K61</xm:f>
              <xm:sqref>L61</xm:sqref>
            </x14:sparkline>
            <x14:sparkline>
              <xm:f>Коэффициенты!H62:K62</xm:f>
              <xm:sqref>L62</xm:sqref>
            </x14:sparkline>
            <x14:sparkline>
              <xm:f>Коэффициенты!H63:K63</xm:f>
              <xm:sqref>L63</xm:sqref>
            </x14:sparkline>
            <x14:sparkline>
              <xm:f>Коэффициенты!H64:K64</xm:f>
              <xm:sqref>L64</xm:sqref>
            </x14:sparkline>
            <x14:sparkline>
              <xm:f>Коэффициенты!H65:K65</xm:f>
              <xm:sqref>L65</xm:sqref>
            </x14:sparkline>
            <x14:sparkline>
              <xm:f>Коэффициенты!H66:K66</xm:f>
              <xm:sqref>L66</xm:sqref>
            </x14:sparkline>
            <x14:sparkline>
              <xm:f>Коэффициенты!H67:K67</xm:f>
              <xm:sqref>L67</xm:sqref>
            </x14:sparkline>
            <x14:sparkline>
              <xm:f>Коэффициенты!H68:K68</xm:f>
              <xm:sqref>L68</xm:sqref>
            </x14:sparkline>
            <x14:sparkline>
              <xm:f>Коэффициенты!H69:K69</xm:f>
              <xm:sqref>L69</xm:sqref>
            </x14:sparkline>
            <x14:sparkline>
              <xm:f>Коэффициенты!H70:K70</xm:f>
              <xm:sqref>L70</xm:sqref>
            </x14:sparkline>
            <x14:sparkline>
              <xm:f>Коэффициенты!H71:K71</xm:f>
              <xm:sqref>L71</xm:sqref>
            </x14:sparkline>
            <x14:sparkline>
              <xm:f>Коэффициенты!H72:K72</xm:f>
              <xm:sqref>L72</xm:sqref>
            </x14:sparkline>
            <x14:sparkline>
              <xm:f>Коэффициенты!H73:K73</xm:f>
              <xm:sqref>L73</xm:sqref>
            </x14:sparkline>
            <x14:sparkline>
              <xm:f>Коэффициенты!H74:K74</xm:f>
              <xm:sqref>L74</xm:sqref>
            </x14:sparkline>
            <x14:sparkline>
              <xm:f>Коэффициенты!H75:K75</xm:f>
              <xm:sqref>L75</xm:sqref>
            </x14:sparkline>
          </x14:sparklines>
        </x14:sparklineGroup>
        <x14:sparklineGroup displayEmptyCellsAs="gap" markers="1" xr2:uid="{505F82A2-9933-0B45-8CAE-6D17EE8D7CA2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Коэффициенты!M9:P9</xm:f>
              <xm:sqref>Q9</xm:sqref>
            </x14:sparkline>
            <x14:sparkline>
              <xm:f>Коэффициенты!M10:P10</xm:f>
              <xm:sqref>Q10</xm:sqref>
            </x14:sparkline>
            <x14:sparkline>
              <xm:f>Коэффициенты!M11:P11</xm:f>
              <xm:sqref>Q11</xm:sqref>
            </x14:sparkline>
            <x14:sparkline>
              <xm:f>Коэффициенты!M12:P12</xm:f>
              <xm:sqref>Q12</xm:sqref>
            </x14:sparkline>
            <x14:sparkline>
              <xm:f>Коэффициенты!M13:P13</xm:f>
              <xm:sqref>Q13</xm:sqref>
            </x14:sparkline>
            <x14:sparkline>
              <xm:f>Коэффициенты!M14:P14</xm:f>
              <xm:sqref>Q14</xm:sqref>
            </x14:sparkline>
            <x14:sparkline>
              <xm:f>Коэффициенты!M15:P15</xm:f>
              <xm:sqref>Q15</xm:sqref>
            </x14:sparkline>
            <x14:sparkline>
              <xm:f>Коэффициенты!M16:P16</xm:f>
              <xm:sqref>Q16</xm:sqref>
            </x14:sparkline>
            <x14:sparkline>
              <xm:f>Коэффициенты!M17:P17</xm:f>
              <xm:sqref>Q17</xm:sqref>
            </x14:sparkline>
            <x14:sparkline>
              <xm:f>Коэффициенты!M18:P18</xm:f>
              <xm:sqref>Q18</xm:sqref>
            </x14:sparkline>
            <x14:sparkline>
              <xm:f>Коэффициенты!M19:P19</xm:f>
              <xm:sqref>Q19</xm:sqref>
            </x14:sparkline>
            <x14:sparkline>
              <xm:f>Коэффициенты!M20:P20</xm:f>
              <xm:sqref>Q20</xm:sqref>
            </x14:sparkline>
            <x14:sparkline>
              <xm:f>Коэффициенты!M21:P21</xm:f>
              <xm:sqref>Q21</xm:sqref>
            </x14:sparkline>
            <x14:sparkline>
              <xm:f>Коэффициенты!M22:P22</xm:f>
              <xm:sqref>Q22</xm:sqref>
            </x14:sparkline>
            <x14:sparkline>
              <xm:f>Коэффициенты!M23:P23</xm:f>
              <xm:sqref>Q23</xm:sqref>
            </x14:sparkline>
            <x14:sparkline>
              <xm:f>Коэффициенты!M24:P24</xm:f>
              <xm:sqref>Q24</xm:sqref>
            </x14:sparkline>
            <x14:sparkline>
              <xm:f>Коэффициенты!M25:P25</xm:f>
              <xm:sqref>Q25</xm:sqref>
            </x14:sparkline>
            <x14:sparkline>
              <xm:f>Коэффициенты!M26:P26</xm:f>
              <xm:sqref>Q26</xm:sqref>
            </x14:sparkline>
            <x14:sparkline>
              <xm:f>Коэффициенты!M27:P27</xm:f>
              <xm:sqref>Q27</xm:sqref>
            </x14:sparkline>
            <x14:sparkline>
              <xm:f>Коэффициенты!M28:P28</xm:f>
              <xm:sqref>Q28</xm:sqref>
            </x14:sparkline>
            <x14:sparkline>
              <xm:f>Коэффициенты!M29:P29</xm:f>
              <xm:sqref>Q29</xm:sqref>
            </x14:sparkline>
            <x14:sparkline>
              <xm:f>Коэффициенты!M30:P30</xm:f>
              <xm:sqref>Q30</xm:sqref>
            </x14:sparkline>
            <x14:sparkline>
              <xm:f>Коэффициенты!M31:P31</xm:f>
              <xm:sqref>Q31</xm:sqref>
            </x14:sparkline>
            <x14:sparkline>
              <xm:f>Коэффициенты!M32:P32</xm:f>
              <xm:sqref>Q32</xm:sqref>
            </x14:sparkline>
            <x14:sparkline>
              <xm:f>Коэффициенты!M33:P33</xm:f>
              <xm:sqref>Q33</xm:sqref>
            </x14:sparkline>
            <x14:sparkline>
              <xm:f>Коэффициенты!M35:P35</xm:f>
              <xm:sqref>Q35</xm:sqref>
            </x14:sparkline>
            <x14:sparkline>
              <xm:f>Коэффициенты!M36:P36</xm:f>
              <xm:sqref>Q36</xm:sqref>
            </x14:sparkline>
            <x14:sparkline>
              <xm:f>Коэффициенты!M37:P37</xm:f>
              <xm:sqref>Q37</xm:sqref>
            </x14:sparkline>
            <x14:sparkline>
              <xm:f>Коэффициенты!M38:P38</xm:f>
              <xm:sqref>Q38</xm:sqref>
            </x14:sparkline>
            <x14:sparkline>
              <xm:f>Коэффициенты!M39:P39</xm:f>
              <xm:sqref>Q39</xm:sqref>
            </x14:sparkline>
            <x14:sparkline>
              <xm:f>Коэффициенты!M40:P40</xm:f>
              <xm:sqref>Q40</xm:sqref>
            </x14:sparkline>
            <x14:sparkline>
              <xm:f>Коэффициенты!M41:P41</xm:f>
              <xm:sqref>Q41</xm:sqref>
            </x14:sparkline>
            <x14:sparkline>
              <xm:f>Коэффициенты!M42:P42</xm:f>
              <xm:sqref>Q42</xm:sqref>
            </x14:sparkline>
            <x14:sparkline>
              <xm:f>Коэффициенты!M43:P43</xm:f>
              <xm:sqref>Q43</xm:sqref>
            </x14:sparkline>
            <x14:sparkline>
              <xm:f>Коэффициенты!M44:P44</xm:f>
              <xm:sqref>Q44</xm:sqref>
            </x14:sparkline>
            <x14:sparkline>
              <xm:f>Коэффициенты!M45:P45</xm:f>
              <xm:sqref>Q45</xm:sqref>
            </x14:sparkline>
            <x14:sparkline>
              <xm:f>Коэффициенты!M46:P46</xm:f>
              <xm:sqref>Q46</xm:sqref>
            </x14:sparkline>
            <x14:sparkline>
              <xm:f>Коэффициенты!M47:P47</xm:f>
              <xm:sqref>Q47</xm:sqref>
            </x14:sparkline>
            <x14:sparkline>
              <xm:f>Коэффициенты!M48:P48</xm:f>
              <xm:sqref>Q48</xm:sqref>
            </x14:sparkline>
            <x14:sparkline>
              <xm:f>Коэффициенты!M49:P49</xm:f>
              <xm:sqref>Q49</xm:sqref>
            </x14:sparkline>
            <x14:sparkline>
              <xm:f>Коэффициенты!M50:P50</xm:f>
              <xm:sqref>Q50</xm:sqref>
            </x14:sparkline>
            <x14:sparkline>
              <xm:f>Коэффициенты!M51:P51</xm:f>
              <xm:sqref>Q51</xm:sqref>
            </x14:sparkline>
            <x14:sparkline>
              <xm:f>Коэффициенты!M52:P52</xm:f>
              <xm:sqref>Q52</xm:sqref>
            </x14:sparkline>
            <x14:sparkline>
              <xm:f>Коэффициенты!M53:P53</xm:f>
              <xm:sqref>Q53</xm:sqref>
            </x14:sparkline>
            <x14:sparkline>
              <xm:f>Коэффициенты!M54:P54</xm:f>
              <xm:sqref>Q54</xm:sqref>
            </x14:sparkline>
            <x14:sparkline>
              <xm:f>Коэффициенты!M59:P59</xm:f>
              <xm:sqref>Q59</xm:sqref>
            </x14:sparkline>
            <x14:sparkline>
              <xm:f>Коэффициенты!M60:P60</xm:f>
              <xm:sqref>Q60</xm:sqref>
            </x14:sparkline>
            <x14:sparkline>
              <xm:f>Коэффициенты!M61:P61</xm:f>
              <xm:sqref>Q61</xm:sqref>
            </x14:sparkline>
            <x14:sparkline>
              <xm:f>Коэффициенты!M62:P62</xm:f>
              <xm:sqref>Q62</xm:sqref>
            </x14:sparkline>
            <x14:sparkline>
              <xm:f>Коэффициенты!M63:P63</xm:f>
              <xm:sqref>Q63</xm:sqref>
            </x14:sparkline>
            <x14:sparkline>
              <xm:f>Коэффициенты!M64:P64</xm:f>
              <xm:sqref>Q64</xm:sqref>
            </x14:sparkline>
            <x14:sparkline>
              <xm:f>Коэффициенты!M65:P65</xm:f>
              <xm:sqref>Q65</xm:sqref>
            </x14:sparkline>
            <x14:sparkline>
              <xm:f>Коэффициенты!M66:P66</xm:f>
              <xm:sqref>Q66</xm:sqref>
            </x14:sparkline>
            <x14:sparkline>
              <xm:f>Коэффициенты!M67:P67</xm:f>
              <xm:sqref>Q67</xm:sqref>
            </x14:sparkline>
            <x14:sparkline>
              <xm:f>Коэффициенты!M68:P68</xm:f>
              <xm:sqref>Q68</xm:sqref>
            </x14:sparkline>
            <x14:sparkline>
              <xm:f>Коэффициенты!M69:P69</xm:f>
              <xm:sqref>Q69</xm:sqref>
            </x14:sparkline>
            <x14:sparkline>
              <xm:f>Коэффициенты!M70:P70</xm:f>
              <xm:sqref>Q70</xm:sqref>
            </x14:sparkline>
            <x14:sparkline>
              <xm:f>Коэффициенты!M71:P71</xm:f>
              <xm:sqref>Q71</xm:sqref>
            </x14:sparkline>
            <x14:sparkline>
              <xm:f>Коэффициенты!M72:P72</xm:f>
              <xm:sqref>Q72</xm:sqref>
            </x14:sparkline>
            <x14:sparkline>
              <xm:f>Коэффициенты!M73:P73</xm:f>
              <xm:sqref>Q73</xm:sqref>
            </x14:sparkline>
            <x14:sparkline>
              <xm:f>Коэффициенты!M74:P74</xm:f>
              <xm:sqref>Q74</xm:sqref>
            </x14:sparkline>
            <x14:sparkline>
              <xm:f>Коэффициенты!M75:P75</xm:f>
              <xm:sqref>Q75</xm:sqref>
            </x14:sparkline>
          </x14:sparklines>
        </x14:sparklineGroup>
        <x14:sparklineGroup displayEmptyCellsAs="gap" markers="1" xr2:uid="{3F46638F-75F3-4042-8B1E-AB77B0F0901E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Коэффициенты!M6:P6</xm:f>
              <xm:sqref>Q6</xm:sqref>
            </x14:sparkline>
            <x14:sparkline>
              <xm:f>Коэффициенты!M7:P7</xm:f>
              <xm:sqref>Q7</xm:sqref>
            </x14:sparkline>
            <x14:sparkline>
              <xm:f>Коэффициенты!M8:P8</xm:f>
              <xm:sqref>Q8</xm:sqref>
            </x14:sparkline>
          </x14:sparklines>
        </x14:sparklineGroup>
        <x14:sparklineGroup displayEmptyCellsAs="gap" markers="1" xr2:uid="{C52D9E47-7440-4EDC-9446-F07B87566CBE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Коэффициенты!H6:K6</xm:f>
              <xm:sqref>L6</xm:sqref>
            </x14:sparkline>
            <x14:sparkline>
              <xm:f>Коэффициенты!H7:K7</xm:f>
              <xm:sqref>L7</xm:sqref>
            </x14:sparkline>
            <x14:sparkline>
              <xm:f>Коэффициенты!H8:K8</xm:f>
              <xm:sqref>L8</xm:sqref>
            </x14:sparkline>
          </x14:sparklines>
        </x14:sparklineGroup>
        <x14:sparklineGroup displayEmptyCellsAs="gap" markers="1" xr2:uid="{25506C15-1166-4659-BCAA-5AF1804AC031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Коэффициенты!C6:F6</xm:f>
              <xm:sqref>G6</xm:sqref>
            </x14:sparkline>
            <x14:sparkline>
              <xm:f>Коэффициенты!C7:F7</xm:f>
              <xm:sqref>G7</xm:sqref>
            </x14:sparkline>
            <x14:sparkline>
              <xm:f>Коэффициенты!C8:F8</xm:f>
              <xm:sqref>G8</xm:sqref>
            </x14:sparkline>
          </x14:sparklines>
        </x14:sparklineGroup>
        <x14:sparklineGroup displayEmptyCellsAs="gap" markers="1" xr2:uid="{9278C20A-7E25-43D1-8E36-D9A151BD4898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Коэффициенты!R6:U6</xm:f>
              <xm:sqref>V6</xm:sqref>
            </x14:sparkline>
            <x14:sparkline>
              <xm:f>Коэффициенты!R7:U7</xm:f>
              <xm:sqref>V7</xm:sqref>
            </x14:sparkline>
            <x14:sparkline>
              <xm:f>Коэффициенты!R8:U8</xm:f>
              <xm:sqref>V8</xm:sqref>
            </x14:sparkline>
          </x14:sparklines>
        </x14:sparklineGroup>
        <x14:sparklineGroup displayEmptyCellsAs="gap" markers="1" xr2:uid="{0E0B8C1A-AC03-4B5D-9C8D-3BA1DAD5C18E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Коэффициенты!M55:P55</xm:f>
              <xm:sqref>Q55</xm:sqref>
            </x14:sparkline>
            <x14:sparkline>
              <xm:f>Коэффициенты!M56:P56</xm:f>
              <xm:sqref>Q56</xm:sqref>
            </x14:sparkline>
            <x14:sparkline>
              <xm:f>Коэффициенты!M57:P57</xm:f>
              <xm:sqref>Q57</xm:sqref>
            </x14:sparkline>
            <x14:sparkline>
              <xm:f>Коэффициенты!M58:P58</xm:f>
              <xm:sqref>Q58</xm:sqref>
            </x14:sparkline>
          </x14:sparklines>
        </x14:sparklineGroup>
        <x14:sparklineGroup displayEmptyCellsAs="gap" markers="1" xr2:uid="{1C851591-02F2-41E7-B659-B49FAEB0E067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Коэффициенты!H55:K55</xm:f>
              <xm:sqref>L55</xm:sqref>
            </x14:sparkline>
            <x14:sparkline>
              <xm:f>Коэффициенты!H56:K56</xm:f>
              <xm:sqref>L56</xm:sqref>
            </x14:sparkline>
            <x14:sparkline>
              <xm:f>Коэффициенты!H57:K57</xm:f>
              <xm:sqref>L57</xm:sqref>
            </x14:sparkline>
            <x14:sparkline>
              <xm:f>Коэффициенты!H58:K58</xm:f>
              <xm:sqref>L58</xm:sqref>
            </x14:sparkline>
          </x14:sparklines>
        </x14:sparklineGroup>
        <x14:sparklineGroup displayEmptyCellsAs="gap" markers="1" xr2:uid="{E7DD5B77-1C27-48E5-9816-D99823F19069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Коэффициенты!C55:F55</xm:f>
              <xm:sqref>G55</xm:sqref>
            </x14:sparkline>
            <x14:sparkline>
              <xm:f>Коэффициенты!C56:F56</xm:f>
              <xm:sqref>G56</xm:sqref>
            </x14:sparkline>
            <x14:sparkline>
              <xm:f>Коэффициенты!C57:F57</xm:f>
              <xm:sqref>G57</xm:sqref>
            </x14:sparkline>
            <x14:sparkline>
              <xm:f>Коэффициенты!C58:F58</xm:f>
              <xm:sqref>G58</xm:sqref>
            </x14:sparkline>
          </x14:sparklines>
        </x14:sparklineGroup>
        <x14:sparklineGroup displayEmptyCellsAs="gap" markers="1" xr2:uid="{2AA76B9E-FB88-4757-A442-5E33A990569C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Коэффициенты!R55:U55</xm:f>
              <xm:sqref>V55</xm:sqref>
            </x14:sparkline>
            <x14:sparkline>
              <xm:f>Коэффициенты!R56:U56</xm:f>
              <xm:sqref>V56</xm:sqref>
            </x14:sparkline>
            <x14:sparkline>
              <xm:f>Коэффициенты!R57:U57</xm:f>
              <xm:sqref>V57</xm:sqref>
            </x14:sparkline>
            <x14:sparkline>
              <xm:f>Коэффициенты!R58:U58</xm:f>
              <xm:sqref>V58</xm:sqref>
            </x14:sparkline>
          </x14:sparklines>
        </x14:sparklineGroup>
        <x14:sparklineGroup displayEmptyCellsAs="gap" markers="1" xr2:uid="{6145F376-C73E-4F1F-95F4-8AA9BA52B44A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Коэффициенты!M34:P34</xm:f>
              <xm:sqref>Q34</xm:sqref>
            </x14:sparkline>
          </x14:sparklines>
        </x14:sparklineGroup>
        <x14:sparklineGroup displayEmptyCellsAs="gap" markers="1" xr2:uid="{F8791C4A-9EF7-4299-867E-DC684FB0C32F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Коэффициенты!H34:K34</xm:f>
              <xm:sqref>L34</xm:sqref>
            </x14:sparkline>
          </x14:sparklines>
        </x14:sparklineGroup>
        <x14:sparklineGroup displayEmptyCellsAs="gap" markers="1" xr2:uid="{6D840AFB-6A21-4DC4-837E-7D5825BADE1F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Коэффициенты!C34:F34</xm:f>
              <xm:sqref>G34</xm:sqref>
            </x14:sparkline>
          </x14:sparklines>
        </x14:sparklineGroup>
        <x14:sparklineGroup displayEmptyCellsAs="gap" markers="1" xr2:uid="{69DD2125-2B73-416D-B2FD-F4C7596F9BE4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Коэффициенты!R34:U34</xm:f>
              <xm:sqref>V34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53CE-1C88-4C77-A121-D9A5CA82736F}">
  <sheetPr>
    <tabColor theme="5" tint="0.79998168889431442"/>
  </sheetPr>
  <dimension ref="B1:P108"/>
  <sheetViews>
    <sheetView showGridLines="0" zoomScaleNormal="100" workbookViewId="0">
      <pane xSplit="2" topLeftCell="L1" activePane="topRight" state="frozen"/>
      <selection pane="topRight" activeCell="O79" sqref="O79"/>
    </sheetView>
  </sheetViews>
  <sheetFormatPr defaultColWidth="10.85546875" defaultRowHeight="15"/>
  <cols>
    <col min="1" max="1" width="2.42578125" style="194" customWidth="1"/>
    <col min="2" max="2" width="57.42578125" style="194" customWidth="1"/>
    <col min="3" max="13" width="10.7109375" style="195" customWidth="1"/>
    <col min="14" max="15" width="10.7109375" style="194" customWidth="1"/>
    <col min="16" max="16384" width="10.85546875" style="194"/>
  </cols>
  <sheetData>
    <row r="1" spans="2:16" ht="15" customHeight="1">
      <c r="B1" s="345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5"/>
    </row>
    <row r="2" spans="2:16" ht="15" customHeight="1">
      <c r="B2" s="521" t="s">
        <v>0</v>
      </c>
      <c r="C2" s="523" t="s">
        <v>66</v>
      </c>
      <c r="D2" s="524"/>
      <c r="E2" s="524"/>
      <c r="F2" s="525"/>
      <c r="G2" s="526" t="s">
        <v>67</v>
      </c>
      <c r="H2" s="527"/>
      <c r="I2" s="528"/>
      <c r="J2" s="526" t="s">
        <v>68</v>
      </c>
      <c r="K2" s="527"/>
      <c r="L2" s="528"/>
      <c r="M2" s="526" t="s">
        <v>69</v>
      </c>
      <c r="N2" s="527"/>
      <c r="O2" s="528"/>
      <c r="P2" s="345"/>
    </row>
    <row r="3" spans="2:16">
      <c r="B3" s="522"/>
      <c r="C3" s="393">
        <v>2021</v>
      </c>
      <c r="D3" s="394">
        <v>2022</v>
      </c>
      <c r="E3" s="394">
        <v>2023</v>
      </c>
      <c r="F3" s="395">
        <v>2024</v>
      </c>
      <c r="G3" s="393" t="s">
        <v>70</v>
      </c>
      <c r="H3" s="394" t="s">
        <v>71</v>
      </c>
      <c r="I3" s="395" t="s">
        <v>72</v>
      </c>
      <c r="J3" s="393" t="s">
        <v>70</v>
      </c>
      <c r="K3" s="394" t="s">
        <v>71</v>
      </c>
      <c r="L3" s="395" t="s">
        <v>72</v>
      </c>
      <c r="M3" s="393" t="s">
        <v>70</v>
      </c>
      <c r="N3" s="394" t="s">
        <v>71</v>
      </c>
      <c r="O3" s="395" t="s">
        <v>72</v>
      </c>
      <c r="P3" s="345"/>
    </row>
    <row r="4" spans="2:16">
      <c r="B4" s="263"/>
      <c r="C4" s="225"/>
      <c r="D4" s="201"/>
      <c r="E4" s="201"/>
      <c r="F4" s="226"/>
      <c r="G4" s="275"/>
      <c r="H4" s="204"/>
      <c r="I4" s="276"/>
      <c r="J4" s="275"/>
      <c r="K4" s="204"/>
      <c r="L4" s="276"/>
      <c r="M4" s="275"/>
      <c r="N4" s="204"/>
      <c r="O4" s="276"/>
      <c r="P4" s="345"/>
    </row>
    <row r="5" spans="2:16" ht="15.95">
      <c r="B5" s="264" t="s">
        <v>27</v>
      </c>
      <c r="C5" s="347"/>
      <c r="D5" s="348"/>
      <c r="E5" s="348"/>
      <c r="F5" s="349"/>
      <c r="G5" s="347"/>
      <c r="H5" s="348"/>
      <c r="I5" s="349"/>
      <c r="J5" s="347"/>
      <c r="K5" s="348"/>
      <c r="L5" s="349"/>
      <c r="M5" s="347"/>
      <c r="N5" s="348"/>
      <c r="O5" s="349"/>
      <c r="P5" s="345"/>
    </row>
    <row r="6" spans="2:16" ht="15.95">
      <c r="B6" s="265" t="s">
        <v>73</v>
      </c>
      <c r="C6" s="350">
        <v>17103</v>
      </c>
      <c r="D6" s="346">
        <v>16073</v>
      </c>
      <c r="E6" s="346">
        <v>13702</v>
      </c>
      <c r="F6" s="351">
        <v>11848</v>
      </c>
      <c r="G6" s="350">
        <f>D6-C6</f>
        <v>-1030</v>
      </c>
      <c r="H6" s="346">
        <f t="shared" ref="H6:I6" si="0">E6-D6</f>
        <v>-2371</v>
      </c>
      <c r="I6" s="351">
        <f t="shared" si="0"/>
        <v>-1854</v>
      </c>
      <c r="J6" s="352">
        <f>D6/C6</f>
        <v>0.93977664737180611</v>
      </c>
      <c r="K6" s="353">
        <f t="shared" ref="K6:L6" si="1">E6/D6</f>
        <v>0.8524855347477136</v>
      </c>
      <c r="L6" s="354">
        <f t="shared" si="1"/>
        <v>0.86469128594365785</v>
      </c>
      <c r="M6" s="355">
        <f>G6/C6</f>
        <v>-6.0223352628193887E-2</v>
      </c>
      <c r="N6" s="356">
        <f t="shared" ref="N6:O6" si="2">H6/D6</f>
        <v>-0.14751446525228645</v>
      </c>
      <c r="O6" s="357">
        <f t="shared" si="2"/>
        <v>-0.13530871405634215</v>
      </c>
      <c r="P6" s="345"/>
    </row>
    <row r="7" spans="2:16" ht="15.95">
      <c r="B7" s="265" t="s">
        <v>74</v>
      </c>
      <c r="C7" s="350">
        <v>749</v>
      </c>
      <c r="D7" s="346">
        <v>803</v>
      </c>
      <c r="E7" s="346">
        <v>707</v>
      </c>
      <c r="F7" s="351">
        <v>687</v>
      </c>
      <c r="G7" s="350">
        <f t="shared" ref="G7:G23" si="3">D7-C7</f>
        <v>54</v>
      </c>
      <c r="H7" s="346">
        <f t="shared" ref="H7:H23" si="4">E7-D7</f>
        <v>-96</v>
      </c>
      <c r="I7" s="351">
        <f t="shared" ref="I7:I23" si="5">F7-E7</f>
        <v>-20</v>
      </c>
      <c r="J7" s="352">
        <f t="shared" ref="J7:J68" si="6">D7/C7</f>
        <v>1.0720961281708945</v>
      </c>
      <c r="K7" s="353">
        <f t="shared" ref="K7:K68" si="7">E7/D7</f>
        <v>0.88044831880448315</v>
      </c>
      <c r="L7" s="354">
        <f t="shared" ref="L7:L68" si="8">F7/E7</f>
        <v>0.97171145685997173</v>
      </c>
      <c r="M7" s="355">
        <f t="shared" ref="M7:M18" si="9">G7/C7</f>
        <v>7.209612817089453E-2</v>
      </c>
      <c r="N7" s="356">
        <f>H7/D7</f>
        <v>-0.11955168119551682</v>
      </c>
      <c r="O7" s="357">
        <f t="shared" ref="O7:O19" si="10">I7/E7</f>
        <v>-2.8288543140028287E-2</v>
      </c>
      <c r="P7" s="345"/>
    </row>
    <row r="8" spans="2:16" ht="15.95">
      <c r="B8" s="272" t="s">
        <v>75</v>
      </c>
      <c r="C8" s="230">
        <v>17852</v>
      </c>
      <c r="D8" s="197">
        <v>16876</v>
      </c>
      <c r="E8" s="197">
        <v>14409</v>
      </c>
      <c r="F8" s="231">
        <v>12535</v>
      </c>
      <c r="G8" s="230">
        <f t="shared" si="3"/>
        <v>-976</v>
      </c>
      <c r="H8" s="197">
        <f t="shared" si="4"/>
        <v>-2467</v>
      </c>
      <c r="I8" s="231">
        <f t="shared" si="5"/>
        <v>-1874</v>
      </c>
      <c r="J8" s="278">
        <f t="shared" si="6"/>
        <v>0.94532825453730673</v>
      </c>
      <c r="K8" s="207">
        <f t="shared" si="7"/>
        <v>0.85381607015880545</v>
      </c>
      <c r="L8" s="279">
        <f t="shared" si="8"/>
        <v>0.86994239711291554</v>
      </c>
      <c r="M8" s="244">
        <f t="shared" si="9"/>
        <v>-5.4671745462693253E-2</v>
      </c>
      <c r="N8" s="216">
        <f t="shared" ref="N8:N19" si="11">H8/D8</f>
        <v>-0.1461839298411946</v>
      </c>
      <c r="O8" s="245">
        <f t="shared" si="10"/>
        <v>-0.13005760288708446</v>
      </c>
      <c r="P8" s="345" t="s">
        <v>76</v>
      </c>
    </row>
    <row r="9" spans="2:16" ht="15.95">
      <c r="B9" s="265" t="s">
        <v>77</v>
      </c>
      <c r="C9" s="350">
        <v>-5057</v>
      </c>
      <c r="D9" s="346">
        <v>-6103</v>
      </c>
      <c r="E9" s="346">
        <v>-6344</v>
      </c>
      <c r="F9" s="351">
        <v>-6232</v>
      </c>
      <c r="G9" s="350">
        <f t="shared" si="3"/>
        <v>-1046</v>
      </c>
      <c r="H9" s="346">
        <f t="shared" si="4"/>
        <v>-241</v>
      </c>
      <c r="I9" s="351">
        <f t="shared" si="5"/>
        <v>112</v>
      </c>
      <c r="J9" s="352">
        <f t="shared" si="6"/>
        <v>1.2068420011864742</v>
      </c>
      <c r="K9" s="353">
        <f t="shared" si="7"/>
        <v>1.0394887760117975</v>
      </c>
      <c r="L9" s="354">
        <f t="shared" si="8"/>
        <v>0.98234552332912983</v>
      </c>
      <c r="M9" s="371">
        <f t="shared" si="9"/>
        <v>0.20684200118647419</v>
      </c>
      <c r="N9" s="372">
        <f t="shared" si="11"/>
        <v>3.9488776011797476E-2</v>
      </c>
      <c r="O9" s="373">
        <f t="shared" si="10"/>
        <v>-1.7654476670870115E-2</v>
      </c>
      <c r="P9" s="345"/>
    </row>
    <row r="10" spans="2:16" ht="15.95">
      <c r="B10" s="265" t="s">
        <v>78</v>
      </c>
      <c r="C10" s="350">
        <v>-753</v>
      </c>
      <c r="D10" s="346">
        <v>-810</v>
      </c>
      <c r="E10" s="346">
        <v>-688</v>
      </c>
      <c r="F10" s="351">
        <v>-656</v>
      </c>
      <c r="G10" s="350">
        <f t="shared" si="3"/>
        <v>-57</v>
      </c>
      <c r="H10" s="346">
        <f t="shared" si="4"/>
        <v>122</v>
      </c>
      <c r="I10" s="351">
        <f t="shared" si="5"/>
        <v>32</v>
      </c>
      <c r="J10" s="352">
        <f t="shared" si="6"/>
        <v>1.0756972111553784</v>
      </c>
      <c r="K10" s="353">
        <f t="shared" si="7"/>
        <v>0.84938271604938276</v>
      </c>
      <c r="L10" s="354">
        <f t="shared" si="8"/>
        <v>0.95348837209302328</v>
      </c>
      <c r="M10" s="355">
        <f t="shared" si="9"/>
        <v>7.5697211155378488E-2</v>
      </c>
      <c r="N10" s="356">
        <f t="shared" si="11"/>
        <v>-0.1506172839506173</v>
      </c>
      <c r="O10" s="357">
        <f t="shared" si="10"/>
        <v>-4.6511627906976744E-2</v>
      </c>
      <c r="P10" s="345"/>
    </row>
    <row r="11" spans="2:16" ht="15.95">
      <c r="B11" s="272" t="s">
        <v>79</v>
      </c>
      <c r="C11" s="230">
        <v>12042</v>
      </c>
      <c r="D11" s="197">
        <v>9963</v>
      </c>
      <c r="E11" s="197">
        <v>7377</v>
      </c>
      <c r="F11" s="231">
        <v>5647</v>
      </c>
      <c r="G11" s="230">
        <f t="shared" si="3"/>
        <v>-2079</v>
      </c>
      <c r="H11" s="197">
        <f t="shared" si="4"/>
        <v>-2586</v>
      </c>
      <c r="I11" s="231">
        <f t="shared" si="5"/>
        <v>-1730</v>
      </c>
      <c r="J11" s="278">
        <f t="shared" si="6"/>
        <v>0.82735426008968604</v>
      </c>
      <c r="K11" s="207">
        <f t="shared" si="7"/>
        <v>0.74043962661848839</v>
      </c>
      <c r="L11" s="279">
        <f t="shared" si="8"/>
        <v>0.76548732547105869</v>
      </c>
      <c r="M11" s="244">
        <f t="shared" si="9"/>
        <v>-0.1726457399103139</v>
      </c>
      <c r="N11" s="216">
        <f t="shared" si="11"/>
        <v>-0.25956037338151161</v>
      </c>
      <c r="O11" s="245">
        <f t="shared" si="10"/>
        <v>-0.23451267452894131</v>
      </c>
      <c r="P11" s="345"/>
    </row>
    <row r="12" spans="2:16" ht="15.95">
      <c r="B12" s="265" t="s">
        <v>80</v>
      </c>
      <c r="C12" s="350">
        <v>-989</v>
      </c>
      <c r="D12" s="346">
        <v>-1353</v>
      </c>
      <c r="E12" s="346">
        <v>-1093</v>
      </c>
      <c r="F12" s="351">
        <v>-1046</v>
      </c>
      <c r="G12" s="350">
        <f t="shared" si="3"/>
        <v>-364</v>
      </c>
      <c r="H12" s="346">
        <f t="shared" si="4"/>
        <v>260</v>
      </c>
      <c r="I12" s="351">
        <f t="shared" si="5"/>
        <v>47</v>
      </c>
      <c r="J12" s="352">
        <f t="shared" si="6"/>
        <v>1.3680485338725985</v>
      </c>
      <c r="K12" s="353">
        <f t="shared" si="7"/>
        <v>0.80783444198078347</v>
      </c>
      <c r="L12" s="354">
        <f t="shared" si="8"/>
        <v>0.95699908508691678</v>
      </c>
      <c r="M12" s="371">
        <f t="shared" si="9"/>
        <v>0.36804853387259856</v>
      </c>
      <c r="N12" s="372">
        <f>H12/D12</f>
        <v>-0.19216555801921656</v>
      </c>
      <c r="O12" s="373">
        <f t="shared" si="10"/>
        <v>-4.3000914913083256E-2</v>
      </c>
      <c r="P12" s="345"/>
    </row>
    <row r="13" spans="2:16" ht="15.95">
      <c r="B13" s="265" t="s">
        <v>81</v>
      </c>
      <c r="C13" s="350">
        <v>184</v>
      </c>
      <c r="D13" s="346">
        <v>261</v>
      </c>
      <c r="E13" s="346">
        <v>296</v>
      </c>
      <c r="F13" s="351">
        <v>408</v>
      </c>
      <c r="G13" s="350">
        <f t="shared" si="3"/>
        <v>77</v>
      </c>
      <c r="H13" s="346">
        <f t="shared" si="4"/>
        <v>35</v>
      </c>
      <c r="I13" s="351">
        <f t="shared" si="5"/>
        <v>112</v>
      </c>
      <c r="J13" s="352">
        <f>D13/C13</f>
        <v>1.4184782608695652</v>
      </c>
      <c r="K13" s="353">
        <f t="shared" si="7"/>
        <v>1.1340996168582376</v>
      </c>
      <c r="L13" s="354">
        <f t="shared" si="8"/>
        <v>1.3783783783783783</v>
      </c>
      <c r="M13" s="371">
        <f t="shared" si="9"/>
        <v>0.41847826086956524</v>
      </c>
      <c r="N13" s="372">
        <f>H13/D13</f>
        <v>0.13409961685823754</v>
      </c>
      <c r="O13" s="373">
        <f t="shared" si="10"/>
        <v>0.3783783783783784</v>
      </c>
      <c r="P13" s="345" t="s">
        <v>82</v>
      </c>
    </row>
    <row r="14" spans="2:16" ht="15.95">
      <c r="B14" s="265" t="s">
        <v>83</v>
      </c>
      <c r="C14" s="350">
        <v>48</v>
      </c>
      <c r="D14" s="346">
        <v>90</v>
      </c>
      <c r="E14" s="346">
        <v>179</v>
      </c>
      <c r="F14" s="351">
        <v>441</v>
      </c>
      <c r="G14" s="350">
        <f t="shared" si="3"/>
        <v>42</v>
      </c>
      <c r="H14" s="346">
        <f t="shared" si="4"/>
        <v>89</v>
      </c>
      <c r="I14" s="351">
        <f t="shared" si="5"/>
        <v>262</v>
      </c>
      <c r="J14" s="352">
        <f t="shared" si="6"/>
        <v>1.875</v>
      </c>
      <c r="K14" s="353">
        <f t="shared" si="7"/>
        <v>1.9888888888888889</v>
      </c>
      <c r="L14" s="354">
        <f t="shared" si="8"/>
        <v>2.4636871508379889</v>
      </c>
      <c r="M14" s="371">
        <f t="shared" si="9"/>
        <v>0.875</v>
      </c>
      <c r="N14" s="372">
        <f t="shared" si="11"/>
        <v>0.98888888888888893</v>
      </c>
      <c r="O14" s="373">
        <f t="shared" si="10"/>
        <v>1.4636871508379887</v>
      </c>
      <c r="P14" s="345"/>
    </row>
    <row r="15" spans="2:16" ht="15.95">
      <c r="B15" s="265" t="s">
        <v>84</v>
      </c>
      <c r="C15" s="350">
        <v>-1285</v>
      </c>
      <c r="D15" s="346">
        <v>-678</v>
      </c>
      <c r="E15" s="346">
        <v>-269</v>
      </c>
      <c r="F15" s="351">
        <v>-178</v>
      </c>
      <c r="G15" s="350">
        <f t="shared" si="3"/>
        <v>607</v>
      </c>
      <c r="H15" s="346">
        <f t="shared" si="4"/>
        <v>409</v>
      </c>
      <c r="I15" s="351">
        <f t="shared" si="5"/>
        <v>91</v>
      </c>
      <c r="J15" s="352">
        <f t="shared" si="6"/>
        <v>0.52762645914396888</v>
      </c>
      <c r="K15" s="353">
        <f t="shared" si="7"/>
        <v>0.39675516224188789</v>
      </c>
      <c r="L15" s="354">
        <f t="shared" si="8"/>
        <v>0.66171003717472121</v>
      </c>
      <c r="M15" s="355">
        <f t="shared" si="9"/>
        <v>-0.47237354085603112</v>
      </c>
      <c r="N15" s="356">
        <f t="shared" si="11"/>
        <v>-0.60324483775811211</v>
      </c>
      <c r="O15" s="357">
        <f t="shared" si="10"/>
        <v>-0.33828996282527879</v>
      </c>
      <c r="P15" s="345"/>
    </row>
    <row r="16" spans="2:16" ht="15.95">
      <c r="B16" s="272" t="s">
        <v>85</v>
      </c>
      <c r="C16" s="230">
        <v>9536</v>
      </c>
      <c r="D16" s="197">
        <v>7581</v>
      </c>
      <c r="E16" s="197">
        <v>5540</v>
      </c>
      <c r="F16" s="231">
        <v>3574</v>
      </c>
      <c r="G16" s="230">
        <f t="shared" si="3"/>
        <v>-1955</v>
      </c>
      <c r="H16" s="197">
        <f t="shared" si="4"/>
        <v>-2041</v>
      </c>
      <c r="I16" s="231">
        <f t="shared" si="5"/>
        <v>-1966</v>
      </c>
      <c r="J16" s="278">
        <f t="shared" si="6"/>
        <v>0.79498741610738255</v>
      </c>
      <c r="K16" s="207">
        <f t="shared" si="7"/>
        <v>0.73077430418150635</v>
      </c>
      <c r="L16" s="279">
        <f t="shared" si="8"/>
        <v>0.64512635379061367</v>
      </c>
      <c r="M16" s="244">
        <f t="shared" si="9"/>
        <v>-0.20501258389261745</v>
      </c>
      <c r="N16" s="216">
        <f t="shared" si="11"/>
        <v>-0.26922569581849359</v>
      </c>
      <c r="O16" s="245">
        <f t="shared" si="10"/>
        <v>-0.35487364620938627</v>
      </c>
      <c r="P16" s="345"/>
    </row>
    <row r="17" spans="2:16" ht="15.95">
      <c r="B17" s="265" t="s">
        <v>86</v>
      </c>
      <c r="C17" s="350">
        <v>-53</v>
      </c>
      <c r="D17" s="346">
        <v>251</v>
      </c>
      <c r="E17" s="346">
        <v>-1512</v>
      </c>
      <c r="F17" s="351">
        <v>-343</v>
      </c>
      <c r="G17" s="350">
        <f t="shared" si="3"/>
        <v>304</v>
      </c>
      <c r="H17" s="346">
        <f t="shared" si="4"/>
        <v>-1763</v>
      </c>
      <c r="I17" s="351">
        <f t="shared" si="5"/>
        <v>1169</v>
      </c>
      <c r="J17" s="352">
        <f t="shared" si="6"/>
        <v>-4.7358490566037732</v>
      </c>
      <c r="K17" s="353">
        <f t="shared" si="7"/>
        <v>-6.0239043824701195</v>
      </c>
      <c r="L17" s="354">
        <f t="shared" si="8"/>
        <v>0.22685185185185186</v>
      </c>
      <c r="M17" s="355">
        <f t="shared" si="9"/>
        <v>-5.7358490566037732</v>
      </c>
      <c r="N17" s="356">
        <f t="shared" si="11"/>
        <v>-7.0239043824701195</v>
      </c>
      <c r="O17" s="357">
        <f t="shared" si="10"/>
        <v>-0.77314814814814814</v>
      </c>
      <c r="P17" s="345"/>
    </row>
    <row r="18" spans="2:16" ht="15.95">
      <c r="B18" s="265" t="s">
        <v>87</v>
      </c>
      <c r="C18" s="350">
        <v>-279</v>
      </c>
      <c r="D18" s="346">
        <v>-493</v>
      </c>
      <c r="E18" s="346">
        <v>-567</v>
      </c>
      <c r="F18" s="351">
        <v>-896</v>
      </c>
      <c r="G18" s="350">
        <f t="shared" si="3"/>
        <v>-214</v>
      </c>
      <c r="H18" s="346">
        <f t="shared" si="4"/>
        <v>-74</v>
      </c>
      <c r="I18" s="351">
        <f t="shared" si="5"/>
        <v>-329</v>
      </c>
      <c r="J18" s="352">
        <f t="shared" si="6"/>
        <v>1.7670250896057347</v>
      </c>
      <c r="K18" s="353">
        <f t="shared" si="7"/>
        <v>1.1501014198782962</v>
      </c>
      <c r="L18" s="354">
        <f t="shared" si="8"/>
        <v>1.5802469135802468</v>
      </c>
      <c r="M18" s="355">
        <f t="shared" si="9"/>
        <v>0.76702508960573479</v>
      </c>
      <c r="N18" s="356">
        <f t="shared" si="11"/>
        <v>0.15010141987829614</v>
      </c>
      <c r="O18" s="357">
        <f t="shared" si="10"/>
        <v>0.58024691358024694</v>
      </c>
      <c r="P18" s="345"/>
    </row>
    <row r="19" spans="2:16" ht="32.1">
      <c r="B19" s="265" t="s">
        <v>88</v>
      </c>
      <c r="C19" s="350">
        <v>29</v>
      </c>
      <c r="D19" s="346">
        <v>-110</v>
      </c>
      <c r="E19" s="346">
        <v>32</v>
      </c>
      <c r="F19" s="237">
        <v>0</v>
      </c>
      <c r="G19" s="238">
        <f t="shared" si="3"/>
        <v>-139</v>
      </c>
      <c r="H19" s="198">
        <f t="shared" si="4"/>
        <v>142</v>
      </c>
      <c r="I19" s="237">
        <f t="shared" si="5"/>
        <v>-32</v>
      </c>
      <c r="J19" s="280">
        <f t="shared" si="6"/>
        <v>-3.7931034482758621</v>
      </c>
      <c r="K19" s="208">
        <f t="shared" si="7"/>
        <v>-0.29090909090909089</v>
      </c>
      <c r="L19" s="281">
        <f t="shared" si="8"/>
        <v>0</v>
      </c>
      <c r="M19" s="256">
        <f>G19/C19</f>
        <v>-4.7931034482758621</v>
      </c>
      <c r="N19" s="217">
        <f t="shared" si="11"/>
        <v>-1.290909090909091</v>
      </c>
      <c r="O19" s="257">
        <f t="shared" si="10"/>
        <v>-1</v>
      </c>
      <c r="P19" s="345"/>
    </row>
    <row r="20" spans="2:16" ht="15.95">
      <c r="B20" s="265" t="s">
        <v>89</v>
      </c>
      <c r="C20" s="350">
        <v>52</v>
      </c>
      <c r="D20" s="346">
        <v>150</v>
      </c>
      <c r="E20" s="346">
        <v>41</v>
      </c>
      <c r="F20" s="351">
        <v>69</v>
      </c>
      <c r="G20" s="350">
        <f t="shared" si="3"/>
        <v>98</v>
      </c>
      <c r="H20" s="346">
        <f t="shared" si="4"/>
        <v>-109</v>
      </c>
      <c r="I20" s="351">
        <f t="shared" si="5"/>
        <v>28</v>
      </c>
      <c r="J20" s="352">
        <f t="shared" si="6"/>
        <v>2.8846153846153846</v>
      </c>
      <c r="K20" s="353">
        <f t="shared" si="7"/>
        <v>0.27333333333333332</v>
      </c>
      <c r="L20" s="354">
        <f t="shared" si="8"/>
        <v>1.6829268292682926</v>
      </c>
      <c r="M20" s="355">
        <f t="shared" ref="M20:M23" si="12">G20/C20</f>
        <v>1.8846153846153846</v>
      </c>
      <c r="N20" s="356">
        <f t="shared" ref="N20:N23" si="13">H20/D20</f>
        <v>-0.72666666666666668</v>
      </c>
      <c r="O20" s="357">
        <f t="shared" ref="O20:O23" si="14">I20/E20</f>
        <v>0.68292682926829273</v>
      </c>
      <c r="P20" s="345"/>
    </row>
    <row r="21" spans="2:16" ht="15.95">
      <c r="B21" s="272" t="s">
        <v>90</v>
      </c>
      <c r="C21" s="230">
        <v>9285</v>
      </c>
      <c r="D21" s="197">
        <v>7379</v>
      </c>
      <c r="E21" s="197">
        <v>3534</v>
      </c>
      <c r="F21" s="231">
        <v>2404</v>
      </c>
      <c r="G21" s="230">
        <f t="shared" si="3"/>
        <v>-1906</v>
      </c>
      <c r="H21" s="197">
        <f t="shared" si="4"/>
        <v>-3845</v>
      </c>
      <c r="I21" s="231">
        <f t="shared" si="5"/>
        <v>-1130</v>
      </c>
      <c r="J21" s="278">
        <f t="shared" si="6"/>
        <v>0.7947226709746904</v>
      </c>
      <c r="K21" s="207">
        <f t="shared" si="7"/>
        <v>0.47892668383249765</v>
      </c>
      <c r="L21" s="279">
        <f t="shared" si="8"/>
        <v>0.68024900962082624</v>
      </c>
      <c r="M21" s="244">
        <f t="shared" si="12"/>
        <v>-0.20527732902530965</v>
      </c>
      <c r="N21" s="216">
        <f t="shared" si="13"/>
        <v>-0.52107331616750241</v>
      </c>
      <c r="O21" s="245">
        <f t="shared" si="14"/>
        <v>-0.31975099037917376</v>
      </c>
      <c r="P21" s="345"/>
    </row>
    <row r="22" spans="2:16" ht="15.95">
      <c r="B22" s="265" t="s">
        <v>91</v>
      </c>
      <c r="C22" s="350">
        <v>-2311</v>
      </c>
      <c r="D22" s="346">
        <v>-1525</v>
      </c>
      <c r="E22" s="346">
        <v>-664</v>
      </c>
      <c r="F22" s="351">
        <v>-589</v>
      </c>
      <c r="G22" s="350">
        <f t="shared" si="3"/>
        <v>786</v>
      </c>
      <c r="H22" s="346">
        <f t="shared" si="4"/>
        <v>861</v>
      </c>
      <c r="I22" s="351">
        <f t="shared" si="5"/>
        <v>75</v>
      </c>
      <c r="J22" s="352">
        <f t="shared" si="6"/>
        <v>0.65988749459108609</v>
      </c>
      <c r="K22" s="353">
        <f t="shared" si="7"/>
        <v>0.43540983606557376</v>
      </c>
      <c r="L22" s="354">
        <f t="shared" si="8"/>
        <v>0.88704819277108438</v>
      </c>
      <c r="M22" s="355">
        <f t="shared" si="12"/>
        <v>-0.34011250540891391</v>
      </c>
      <c r="N22" s="356">
        <f t="shared" si="13"/>
        <v>-0.56459016393442618</v>
      </c>
      <c r="O22" s="357">
        <f t="shared" si="14"/>
        <v>-0.11295180722891567</v>
      </c>
      <c r="P22" s="345"/>
    </row>
    <row r="23" spans="2:16" ht="15.95">
      <c r="B23" s="271" t="s">
        <v>92</v>
      </c>
      <c r="C23" s="239">
        <v>6974</v>
      </c>
      <c r="D23" s="240">
        <v>5854</v>
      </c>
      <c r="E23" s="240">
        <v>2870</v>
      </c>
      <c r="F23" s="241">
        <v>1815</v>
      </c>
      <c r="G23" s="277">
        <f t="shared" si="3"/>
        <v>-1120</v>
      </c>
      <c r="H23" s="240">
        <f t="shared" si="4"/>
        <v>-2984</v>
      </c>
      <c r="I23" s="241">
        <f t="shared" si="5"/>
        <v>-1055</v>
      </c>
      <c r="J23" s="282">
        <f t="shared" si="6"/>
        <v>0.83940349870949238</v>
      </c>
      <c r="K23" s="283">
        <f t="shared" si="7"/>
        <v>0.4902630679877007</v>
      </c>
      <c r="L23" s="284">
        <f t="shared" si="8"/>
        <v>0.63240418118466901</v>
      </c>
      <c r="M23" s="258">
        <f t="shared" si="12"/>
        <v>-0.16059650129050759</v>
      </c>
      <c r="N23" s="259">
        <f t="shared" si="13"/>
        <v>-0.5097369320122993</v>
      </c>
      <c r="O23" s="260">
        <f t="shared" si="14"/>
        <v>-0.36759581881533099</v>
      </c>
      <c r="P23" s="345"/>
    </row>
    <row r="24" spans="2:16" ht="12.95" customHeight="1">
      <c r="B24" s="203"/>
      <c r="C24" s="200"/>
      <c r="D24" s="200"/>
      <c r="E24" s="200"/>
      <c r="F24" s="200"/>
      <c r="G24" s="200"/>
      <c r="H24" s="200"/>
      <c r="I24" s="200"/>
      <c r="J24" s="356"/>
      <c r="K24" s="356"/>
      <c r="L24" s="356"/>
      <c r="M24" s="219"/>
      <c r="N24" s="219"/>
      <c r="O24" s="219"/>
      <c r="P24" s="345"/>
    </row>
    <row r="25" spans="2:16" ht="17.100000000000001" customHeight="1">
      <c r="B25" s="521" t="s">
        <v>93</v>
      </c>
      <c r="C25" s="523" t="s">
        <v>66</v>
      </c>
      <c r="D25" s="524"/>
      <c r="E25" s="524"/>
      <c r="F25" s="525"/>
      <c r="G25" s="526" t="s">
        <v>67</v>
      </c>
      <c r="H25" s="527"/>
      <c r="I25" s="528"/>
      <c r="J25" s="526" t="s">
        <v>68</v>
      </c>
      <c r="K25" s="527"/>
      <c r="L25" s="528"/>
      <c r="M25" s="526" t="s">
        <v>69</v>
      </c>
      <c r="N25" s="527"/>
      <c r="O25" s="528"/>
      <c r="P25" s="345"/>
    </row>
    <row r="26" spans="2:16" ht="12.95" customHeight="1">
      <c r="B26" s="522"/>
      <c r="C26" s="393">
        <v>2021</v>
      </c>
      <c r="D26" s="394">
        <v>2022</v>
      </c>
      <c r="E26" s="394">
        <v>2023</v>
      </c>
      <c r="F26" s="395">
        <v>2024</v>
      </c>
      <c r="G26" s="393" t="s">
        <v>70</v>
      </c>
      <c r="H26" s="394" t="s">
        <v>71</v>
      </c>
      <c r="I26" s="395" t="s">
        <v>72</v>
      </c>
      <c r="J26" s="393" t="s">
        <v>70</v>
      </c>
      <c r="K26" s="394" t="s">
        <v>71</v>
      </c>
      <c r="L26" s="395" t="s">
        <v>72</v>
      </c>
      <c r="M26" s="393" t="s">
        <v>70</v>
      </c>
      <c r="N26" s="394" t="s">
        <v>71</v>
      </c>
      <c r="O26" s="395" t="s">
        <v>72</v>
      </c>
      <c r="P26" s="345"/>
    </row>
    <row r="27" spans="2:16">
      <c r="B27" s="263"/>
      <c r="C27" s="225"/>
      <c r="D27" s="201"/>
      <c r="E27" s="201"/>
      <c r="F27" s="226"/>
      <c r="G27" s="275"/>
      <c r="H27" s="204"/>
      <c r="I27" s="276"/>
      <c r="J27" s="275"/>
      <c r="K27" s="204"/>
      <c r="L27" s="276"/>
      <c r="M27" s="275"/>
      <c r="N27" s="204"/>
      <c r="O27" s="276"/>
      <c r="P27" s="345"/>
    </row>
    <row r="28" spans="2:16" ht="15.95">
      <c r="B28" s="264" t="s">
        <v>94</v>
      </c>
      <c r="C28" s="227"/>
      <c r="D28" s="202"/>
      <c r="E28" s="202"/>
      <c r="F28" s="228"/>
      <c r="G28" s="227"/>
      <c r="H28" s="202"/>
      <c r="I28" s="228"/>
      <c r="J28" s="355"/>
      <c r="K28" s="356"/>
      <c r="L28" s="357"/>
      <c r="M28" s="293"/>
      <c r="N28" s="220"/>
      <c r="O28" s="294"/>
      <c r="P28" s="345"/>
    </row>
    <row r="29" spans="2:16" ht="15.95">
      <c r="B29" s="264" t="s">
        <v>95</v>
      </c>
      <c r="C29" s="227"/>
      <c r="D29" s="358"/>
      <c r="E29" s="358"/>
      <c r="F29" s="359"/>
      <c r="G29" s="360"/>
      <c r="H29" s="358"/>
      <c r="I29" s="359"/>
      <c r="J29" s="355"/>
      <c r="K29" s="356"/>
      <c r="L29" s="357"/>
      <c r="M29" s="361"/>
      <c r="N29" s="362"/>
      <c r="O29" s="363"/>
      <c r="P29" s="345"/>
    </row>
    <row r="30" spans="2:16" ht="15.95">
      <c r="B30" s="265" t="s">
        <v>96</v>
      </c>
      <c r="C30" s="350">
        <v>12699</v>
      </c>
      <c r="D30" s="346">
        <v>16264</v>
      </c>
      <c r="E30" s="346">
        <v>15181</v>
      </c>
      <c r="F30" s="351">
        <v>15261</v>
      </c>
      <c r="G30" s="350">
        <f>D30-C30</f>
        <v>3565</v>
      </c>
      <c r="H30" s="346">
        <f t="shared" ref="H30:I30" si="15">E30-D30</f>
        <v>-1083</v>
      </c>
      <c r="I30" s="351">
        <f t="shared" si="15"/>
        <v>80</v>
      </c>
      <c r="J30" s="352">
        <f t="shared" si="6"/>
        <v>1.2807307662020631</v>
      </c>
      <c r="K30" s="353">
        <f t="shared" si="7"/>
        <v>0.93341121495327106</v>
      </c>
      <c r="L30" s="354">
        <f t="shared" si="8"/>
        <v>1.0052697450760819</v>
      </c>
      <c r="M30" s="355">
        <f>G30/C30</f>
        <v>0.28073076620206316</v>
      </c>
      <c r="N30" s="356">
        <f t="shared" ref="N30" si="16">H30/D30</f>
        <v>-6.6588785046728965E-2</v>
      </c>
      <c r="O30" s="357">
        <f t="shared" ref="O30" si="17">I30/E30</f>
        <v>5.2697450760819447E-3</v>
      </c>
      <c r="P30" s="388" t="s">
        <v>97</v>
      </c>
    </row>
    <row r="31" spans="2:16" ht="15.95">
      <c r="B31" s="265" t="s">
        <v>98</v>
      </c>
      <c r="C31" s="350">
        <v>265</v>
      </c>
      <c r="D31" s="346">
        <v>302</v>
      </c>
      <c r="E31" s="346">
        <v>238</v>
      </c>
      <c r="F31" s="351">
        <v>206</v>
      </c>
      <c r="G31" s="350">
        <f t="shared" ref="G31:G56" si="18">D31-C31</f>
        <v>37</v>
      </c>
      <c r="H31" s="346">
        <f t="shared" ref="H31:H56" si="19">E31-D31</f>
        <v>-64</v>
      </c>
      <c r="I31" s="351">
        <f t="shared" ref="I31:I56" si="20">F31-E31</f>
        <v>-32</v>
      </c>
      <c r="J31" s="352">
        <f t="shared" si="6"/>
        <v>1.1396226415094339</v>
      </c>
      <c r="K31" s="353">
        <f t="shared" si="7"/>
        <v>0.78807947019867552</v>
      </c>
      <c r="L31" s="354">
        <f t="shared" si="8"/>
        <v>0.86554621848739499</v>
      </c>
      <c r="M31" s="355">
        <f t="shared" ref="M31:M36" si="21">G31/C31</f>
        <v>0.13962264150943396</v>
      </c>
      <c r="N31" s="356">
        <f t="shared" ref="N31:N36" si="22">H31/D31</f>
        <v>-0.2119205298013245</v>
      </c>
      <c r="O31" s="357">
        <f t="shared" ref="O31:O36" si="23">I31/E31</f>
        <v>-0.13445378151260504</v>
      </c>
      <c r="P31" s="345"/>
    </row>
    <row r="32" spans="2:16" ht="32.1">
      <c r="B32" s="265" t="s">
        <v>99</v>
      </c>
      <c r="C32" s="229"/>
      <c r="D32" s="346">
        <v>8</v>
      </c>
      <c r="E32" s="346">
        <v>76</v>
      </c>
      <c r="F32" s="351">
        <v>181</v>
      </c>
      <c r="G32" s="350">
        <f t="shared" si="18"/>
        <v>8</v>
      </c>
      <c r="H32" s="346">
        <f t="shared" si="19"/>
        <v>68</v>
      </c>
      <c r="I32" s="351">
        <f t="shared" si="20"/>
        <v>105</v>
      </c>
      <c r="J32" s="352"/>
      <c r="K32" s="353">
        <f t="shared" si="7"/>
        <v>9.5</v>
      </c>
      <c r="L32" s="354">
        <f t="shared" si="8"/>
        <v>2.3815789473684212</v>
      </c>
      <c r="M32" s="355"/>
      <c r="N32" s="356">
        <f t="shared" si="22"/>
        <v>8.5</v>
      </c>
      <c r="O32" s="357">
        <f t="shared" si="23"/>
        <v>1.381578947368421</v>
      </c>
      <c r="P32" s="345"/>
    </row>
    <row r="33" spans="2:16" ht="15.95">
      <c r="B33" s="265" t="s">
        <v>100</v>
      </c>
      <c r="C33" s="350">
        <v>89</v>
      </c>
      <c r="D33" s="346">
        <v>113</v>
      </c>
      <c r="E33" s="346">
        <v>58</v>
      </c>
      <c r="F33" s="351">
        <v>57</v>
      </c>
      <c r="G33" s="350">
        <f t="shared" si="18"/>
        <v>24</v>
      </c>
      <c r="H33" s="346">
        <f t="shared" si="19"/>
        <v>-55</v>
      </c>
      <c r="I33" s="351">
        <f t="shared" si="20"/>
        <v>-1</v>
      </c>
      <c r="J33" s="352">
        <f t="shared" si="6"/>
        <v>1.2696629213483146</v>
      </c>
      <c r="K33" s="353">
        <f t="shared" si="7"/>
        <v>0.51327433628318586</v>
      </c>
      <c r="L33" s="354">
        <f t="shared" si="8"/>
        <v>0.98275862068965514</v>
      </c>
      <c r="M33" s="355">
        <f t="shared" si="21"/>
        <v>0.2696629213483146</v>
      </c>
      <c r="N33" s="356">
        <f t="shared" si="22"/>
        <v>-0.48672566371681414</v>
      </c>
      <c r="O33" s="357">
        <f t="shared" si="23"/>
        <v>-1.7241379310344827E-2</v>
      </c>
      <c r="P33" s="345"/>
    </row>
    <row r="34" spans="2:16" ht="15.95">
      <c r="B34" s="265" t="s">
        <v>101</v>
      </c>
      <c r="C34" s="350">
        <v>167</v>
      </c>
      <c r="D34" s="346">
        <v>340</v>
      </c>
      <c r="E34" s="346">
        <v>335</v>
      </c>
      <c r="F34" s="351">
        <v>328</v>
      </c>
      <c r="G34" s="350">
        <f t="shared" si="18"/>
        <v>173</v>
      </c>
      <c r="H34" s="346">
        <f t="shared" si="19"/>
        <v>-5</v>
      </c>
      <c r="I34" s="351">
        <f t="shared" si="20"/>
        <v>-7</v>
      </c>
      <c r="J34" s="352">
        <f t="shared" si="6"/>
        <v>2.0359281437125749</v>
      </c>
      <c r="K34" s="353">
        <f t="shared" si="7"/>
        <v>0.98529411764705888</v>
      </c>
      <c r="L34" s="354">
        <f t="shared" si="8"/>
        <v>0.9791044776119403</v>
      </c>
      <c r="M34" s="355">
        <f t="shared" si="21"/>
        <v>1.0359281437125749</v>
      </c>
      <c r="N34" s="356">
        <f t="shared" si="22"/>
        <v>-1.4705882352941176E-2</v>
      </c>
      <c r="O34" s="357">
        <f t="shared" si="23"/>
        <v>-2.0895522388059702E-2</v>
      </c>
      <c r="P34" s="345"/>
    </row>
    <row r="35" spans="2:16" ht="15.95">
      <c r="B35" s="265" t="s">
        <v>102</v>
      </c>
      <c r="C35" s="350">
        <v>345</v>
      </c>
      <c r="D35" s="346">
        <v>365</v>
      </c>
      <c r="E35" s="346">
        <v>350</v>
      </c>
      <c r="F35" s="351">
        <v>292</v>
      </c>
      <c r="G35" s="350">
        <f t="shared" si="18"/>
        <v>20</v>
      </c>
      <c r="H35" s="346">
        <f t="shared" si="19"/>
        <v>-15</v>
      </c>
      <c r="I35" s="351">
        <f t="shared" si="20"/>
        <v>-58</v>
      </c>
      <c r="J35" s="352">
        <f t="shared" si="6"/>
        <v>1.0579710144927537</v>
      </c>
      <c r="K35" s="353">
        <f t="shared" si="7"/>
        <v>0.95890410958904104</v>
      </c>
      <c r="L35" s="354">
        <f t="shared" si="8"/>
        <v>0.8342857142857143</v>
      </c>
      <c r="M35" s="355">
        <f t="shared" si="21"/>
        <v>5.7971014492753624E-2</v>
      </c>
      <c r="N35" s="356">
        <f t="shared" si="22"/>
        <v>-4.1095890410958902E-2</v>
      </c>
      <c r="O35" s="357">
        <f t="shared" si="23"/>
        <v>-0.1657142857142857</v>
      </c>
      <c r="P35" s="345"/>
    </row>
    <row r="36" spans="2:16" ht="15.95">
      <c r="B36" s="266" t="s">
        <v>103</v>
      </c>
      <c r="C36" s="230">
        <v>13565</v>
      </c>
      <c r="D36" s="197">
        <v>17392</v>
      </c>
      <c r="E36" s="197">
        <v>16238</v>
      </c>
      <c r="F36" s="231">
        <v>16325</v>
      </c>
      <c r="G36" s="230">
        <f t="shared" si="18"/>
        <v>3827</v>
      </c>
      <c r="H36" s="197">
        <f t="shared" si="19"/>
        <v>-1154</v>
      </c>
      <c r="I36" s="231">
        <f t="shared" si="20"/>
        <v>87</v>
      </c>
      <c r="J36" s="278">
        <f t="shared" si="6"/>
        <v>1.2821231109472908</v>
      </c>
      <c r="K36" s="207">
        <f t="shared" si="7"/>
        <v>0.93364765409383621</v>
      </c>
      <c r="L36" s="279">
        <f t="shared" si="8"/>
        <v>1.0053578026850598</v>
      </c>
      <c r="M36" s="244">
        <f t="shared" si="21"/>
        <v>0.28212311094729081</v>
      </c>
      <c r="N36" s="216">
        <f t="shared" si="22"/>
        <v>-6.6352345906163748E-2</v>
      </c>
      <c r="O36" s="245">
        <f t="shared" si="23"/>
        <v>5.3578026850597364E-3</v>
      </c>
      <c r="P36" s="345"/>
    </row>
    <row r="37" spans="2:16" ht="15.95">
      <c r="B37" s="264" t="s">
        <v>15</v>
      </c>
      <c r="C37" s="229"/>
      <c r="D37" s="348"/>
      <c r="E37" s="348" t="s">
        <v>104</v>
      </c>
      <c r="F37" s="349" t="s">
        <v>104</v>
      </c>
      <c r="G37" s="347"/>
      <c r="H37" s="348"/>
      <c r="I37" s="349"/>
      <c r="J37" s="364"/>
      <c r="K37" s="365"/>
      <c r="L37" s="366"/>
      <c r="M37" s="389"/>
      <c r="N37" s="390"/>
      <c r="O37" s="391"/>
      <c r="P37" s="345" t="s">
        <v>105</v>
      </c>
    </row>
    <row r="38" spans="2:16" ht="15.95">
      <c r="B38" s="265" t="s">
        <v>106</v>
      </c>
      <c r="C38" s="350">
        <v>3026</v>
      </c>
      <c r="D38" s="346">
        <v>4945</v>
      </c>
      <c r="E38" s="346">
        <v>3817</v>
      </c>
      <c r="F38" s="351">
        <v>3114</v>
      </c>
      <c r="G38" s="350">
        <f t="shared" si="18"/>
        <v>1919</v>
      </c>
      <c r="H38" s="346">
        <f t="shared" si="19"/>
        <v>-1128</v>
      </c>
      <c r="I38" s="351">
        <f t="shared" si="20"/>
        <v>-703</v>
      </c>
      <c r="J38" s="352">
        <f t="shared" si="6"/>
        <v>1.6341705221414409</v>
      </c>
      <c r="K38" s="353">
        <f t="shared" si="7"/>
        <v>0.77189079878665323</v>
      </c>
      <c r="L38" s="354">
        <f t="shared" si="8"/>
        <v>0.81582394550694259</v>
      </c>
      <c r="M38" s="371">
        <f>G38/C38</f>
        <v>0.63417052214144087</v>
      </c>
      <c r="N38" s="372">
        <f t="shared" ref="N38" si="24">H38/D38</f>
        <v>-0.22810920121334682</v>
      </c>
      <c r="O38" s="373">
        <f t="shared" ref="O38" si="25">I38/E38</f>
        <v>-0.18417605449305738</v>
      </c>
      <c r="P38" s="345"/>
    </row>
    <row r="39" spans="2:16" ht="15.95">
      <c r="B39" s="265" t="s">
        <v>107</v>
      </c>
      <c r="C39" s="350">
        <v>468</v>
      </c>
      <c r="D39" s="346">
        <v>846</v>
      </c>
      <c r="E39" s="346">
        <v>764</v>
      </c>
      <c r="F39" s="351">
        <v>1374</v>
      </c>
      <c r="G39" s="350">
        <f t="shared" si="18"/>
        <v>378</v>
      </c>
      <c r="H39" s="346">
        <f t="shared" si="19"/>
        <v>-82</v>
      </c>
      <c r="I39" s="351">
        <f t="shared" si="20"/>
        <v>610</v>
      </c>
      <c r="J39" s="352">
        <f t="shared" si="6"/>
        <v>1.8076923076923077</v>
      </c>
      <c r="K39" s="353">
        <f t="shared" si="7"/>
        <v>0.90307328605200943</v>
      </c>
      <c r="L39" s="354">
        <f t="shared" si="8"/>
        <v>1.7984293193717278</v>
      </c>
      <c r="M39" s="371">
        <f t="shared" ref="M39:M47" si="26">G39/C39</f>
        <v>0.80769230769230771</v>
      </c>
      <c r="N39" s="372">
        <f t="shared" ref="N39:N47" si="27">H39/D39</f>
        <v>-9.6926713947990545E-2</v>
      </c>
      <c r="O39" s="373">
        <f t="shared" ref="O39:O47" si="28">I39/E39</f>
        <v>0.79842931937172779</v>
      </c>
      <c r="P39" s="345"/>
    </row>
    <row r="40" spans="2:16" ht="15.95">
      <c r="B40" s="265" t="s">
        <v>108</v>
      </c>
      <c r="C40" s="350">
        <v>111</v>
      </c>
      <c r="D40" s="346">
        <v>192</v>
      </c>
      <c r="E40" s="346">
        <v>173</v>
      </c>
      <c r="F40" s="351">
        <v>135</v>
      </c>
      <c r="G40" s="350">
        <f t="shared" si="18"/>
        <v>81</v>
      </c>
      <c r="H40" s="346">
        <f t="shared" si="19"/>
        <v>-19</v>
      </c>
      <c r="I40" s="351">
        <f t="shared" si="20"/>
        <v>-38</v>
      </c>
      <c r="J40" s="352">
        <f t="shared" si="6"/>
        <v>1.7297297297297298</v>
      </c>
      <c r="K40" s="353">
        <f t="shared" si="7"/>
        <v>0.90104166666666663</v>
      </c>
      <c r="L40" s="354">
        <f t="shared" si="8"/>
        <v>0.78034682080924855</v>
      </c>
      <c r="M40" s="371">
        <f t="shared" si="26"/>
        <v>0.72972972972972971</v>
      </c>
      <c r="N40" s="372">
        <f t="shared" si="27"/>
        <v>-9.8958333333333329E-2</v>
      </c>
      <c r="O40" s="373">
        <f t="shared" si="28"/>
        <v>-0.21965317919075145</v>
      </c>
      <c r="P40" s="345"/>
    </row>
    <row r="41" spans="2:16" ht="15.95">
      <c r="B41" s="265" t="s">
        <v>100</v>
      </c>
      <c r="C41" s="350">
        <v>43</v>
      </c>
      <c r="D41" s="346">
        <v>40</v>
      </c>
      <c r="E41" s="346">
        <v>3</v>
      </c>
      <c r="F41" s="351">
        <v>69</v>
      </c>
      <c r="G41" s="350">
        <f t="shared" si="18"/>
        <v>-3</v>
      </c>
      <c r="H41" s="346">
        <f t="shared" si="19"/>
        <v>-37</v>
      </c>
      <c r="I41" s="351">
        <f t="shared" si="20"/>
        <v>66</v>
      </c>
      <c r="J41" s="352">
        <f t="shared" si="6"/>
        <v>0.93023255813953487</v>
      </c>
      <c r="K41" s="353">
        <f t="shared" si="7"/>
        <v>7.4999999999999997E-2</v>
      </c>
      <c r="L41" s="354">
        <f t="shared" si="8"/>
        <v>23</v>
      </c>
      <c r="M41" s="371">
        <f t="shared" si="26"/>
        <v>-6.9767441860465115E-2</v>
      </c>
      <c r="N41" s="372">
        <f t="shared" si="27"/>
        <v>-0.92500000000000004</v>
      </c>
      <c r="O41" s="373">
        <f t="shared" si="28"/>
        <v>22</v>
      </c>
      <c r="P41" s="345"/>
    </row>
    <row r="42" spans="2:16" ht="15.95">
      <c r="B42" s="265" t="s">
        <v>109</v>
      </c>
      <c r="C42" s="350">
        <v>203</v>
      </c>
      <c r="D42" s="346">
        <v>17</v>
      </c>
      <c r="E42" s="346">
        <v>101</v>
      </c>
      <c r="F42" s="351">
        <v>38</v>
      </c>
      <c r="G42" s="350">
        <f t="shared" si="18"/>
        <v>-186</v>
      </c>
      <c r="H42" s="346">
        <f t="shared" si="19"/>
        <v>84</v>
      </c>
      <c r="I42" s="351">
        <f t="shared" si="20"/>
        <v>-63</v>
      </c>
      <c r="J42" s="352">
        <f t="shared" si="6"/>
        <v>8.3743842364532015E-2</v>
      </c>
      <c r="K42" s="353">
        <f t="shared" si="7"/>
        <v>5.9411764705882355</v>
      </c>
      <c r="L42" s="354">
        <f t="shared" si="8"/>
        <v>0.37623762376237624</v>
      </c>
      <c r="M42" s="371">
        <f t="shared" si="26"/>
        <v>-0.91625615763546797</v>
      </c>
      <c r="N42" s="372">
        <f t="shared" si="27"/>
        <v>4.9411764705882355</v>
      </c>
      <c r="O42" s="373">
        <f t="shared" si="28"/>
        <v>-0.62376237623762376</v>
      </c>
      <c r="P42" s="345"/>
    </row>
    <row r="43" spans="2:16" ht="15.95">
      <c r="B43" s="265" t="s">
        <v>110</v>
      </c>
      <c r="C43" s="350">
        <v>412</v>
      </c>
      <c r="D43" s="346">
        <v>477</v>
      </c>
      <c r="E43" s="346">
        <v>344</v>
      </c>
      <c r="F43" s="351">
        <v>292</v>
      </c>
      <c r="G43" s="350">
        <f t="shared" si="18"/>
        <v>65</v>
      </c>
      <c r="H43" s="346">
        <f t="shared" si="19"/>
        <v>-133</v>
      </c>
      <c r="I43" s="351">
        <f t="shared" si="20"/>
        <v>-52</v>
      </c>
      <c r="J43" s="352">
        <f t="shared" si="6"/>
        <v>1.1577669902912622</v>
      </c>
      <c r="K43" s="353">
        <f t="shared" si="7"/>
        <v>0.72117400419287214</v>
      </c>
      <c r="L43" s="354">
        <f t="shared" si="8"/>
        <v>0.84883720930232553</v>
      </c>
      <c r="M43" s="371">
        <f t="shared" si="26"/>
        <v>0.15776699029126215</v>
      </c>
      <c r="N43" s="372">
        <f t="shared" si="27"/>
        <v>-0.27882599580712786</v>
      </c>
      <c r="O43" s="373">
        <f t="shared" si="28"/>
        <v>-0.15116279069767441</v>
      </c>
      <c r="P43" s="345"/>
    </row>
    <row r="44" spans="2:16" ht="15.95">
      <c r="B44" s="265" t="s">
        <v>111</v>
      </c>
      <c r="C44" s="350">
        <v>5547</v>
      </c>
      <c r="D44" s="346">
        <v>1882</v>
      </c>
      <c r="E44" s="346">
        <v>2139</v>
      </c>
      <c r="F44" s="351">
        <v>1822</v>
      </c>
      <c r="G44" s="350">
        <f t="shared" si="18"/>
        <v>-3665</v>
      </c>
      <c r="H44" s="346">
        <f t="shared" si="19"/>
        <v>257</v>
      </c>
      <c r="I44" s="351">
        <f t="shared" si="20"/>
        <v>-317</v>
      </c>
      <c r="J44" s="352">
        <f t="shared" si="6"/>
        <v>0.33928249504236524</v>
      </c>
      <c r="K44" s="353">
        <f t="shared" si="7"/>
        <v>1.1365568544102018</v>
      </c>
      <c r="L44" s="354">
        <f t="shared" si="8"/>
        <v>0.85179990649836368</v>
      </c>
      <c r="M44" s="371">
        <f t="shared" si="26"/>
        <v>-0.6607175049576347</v>
      </c>
      <c r="N44" s="372">
        <f t="shared" si="27"/>
        <v>0.13655685441020191</v>
      </c>
      <c r="O44" s="373">
        <f t="shared" si="28"/>
        <v>-0.14820009350163627</v>
      </c>
      <c r="P44" s="345"/>
    </row>
    <row r="45" spans="2:16" ht="15.95">
      <c r="B45" s="265" t="s">
        <v>112</v>
      </c>
      <c r="C45" s="350">
        <v>60</v>
      </c>
      <c r="D45" s="346">
        <v>4</v>
      </c>
      <c r="E45" s="346">
        <v>1</v>
      </c>
      <c r="F45" s="351">
        <v>1</v>
      </c>
      <c r="G45" s="350">
        <f t="shared" si="18"/>
        <v>-56</v>
      </c>
      <c r="H45" s="346">
        <f t="shared" si="19"/>
        <v>-3</v>
      </c>
      <c r="I45" s="351">
        <f t="shared" si="20"/>
        <v>0</v>
      </c>
      <c r="J45" s="352">
        <f t="shared" si="6"/>
        <v>6.6666666666666666E-2</v>
      </c>
      <c r="K45" s="353">
        <f t="shared" si="7"/>
        <v>0.25</v>
      </c>
      <c r="L45" s="354">
        <f t="shared" si="8"/>
        <v>1</v>
      </c>
      <c r="M45" s="355">
        <f t="shared" si="26"/>
        <v>-0.93333333333333335</v>
      </c>
      <c r="N45" s="356">
        <f t="shared" si="27"/>
        <v>-0.75</v>
      </c>
      <c r="O45" s="357">
        <f t="shared" si="28"/>
        <v>0</v>
      </c>
      <c r="P45" s="345"/>
    </row>
    <row r="46" spans="2:16" ht="15.95">
      <c r="B46" s="266" t="s">
        <v>113</v>
      </c>
      <c r="C46" s="230">
        <v>9870</v>
      </c>
      <c r="D46" s="197">
        <v>8403</v>
      </c>
      <c r="E46" s="197">
        <v>7342</v>
      </c>
      <c r="F46" s="231">
        <v>6845</v>
      </c>
      <c r="G46" s="230">
        <f t="shared" si="18"/>
        <v>-1467</v>
      </c>
      <c r="H46" s="197">
        <f t="shared" si="19"/>
        <v>-1061</v>
      </c>
      <c r="I46" s="231">
        <f t="shared" si="20"/>
        <v>-497</v>
      </c>
      <c r="J46" s="278">
        <f t="shared" si="6"/>
        <v>0.85136778115501521</v>
      </c>
      <c r="K46" s="207">
        <f t="shared" si="7"/>
        <v>0.87373557062953711</v>
      </c>
      <c r="L46" s="279">
        <f t="shared" si="8"/>
        <v>0.93230727322255513</v>
      </c>
      <c r="M46" s="244">
        <f t="shared" si="26"/>
        <v>-0.14863221884498481</v>
      </c>
      <c r="N46" s="216">
        <f t="shared" si="27"/>
        <v>-0.12626442937046292</v>
      </c>
      <c r="O46" s="245">
        <f t="shared" si="28"/>
        <v>-6.7692726777444839E-2</v>
      </c>
      <c r="P46" s="345"/>
    </row>
    <row r="47" spans="2:16" ht="15.95">
      <c r="B47" s="267" t="s">
        <v>114</v>
      </c>
      <c r="C47" s="232">
        <v>23435</v>
      </c>
      <c r="D47" s="199">
        <v>25795</v>
      </c>
      <c r="E47" s="199">
        <v>23580</v>
      </c>
      <c r="F47" s="233">
        <v>23170</v>
      </c>
      <c r="G47" s="285">
        <f t="shared" si="18"/>
        <v>2360</v>
      </c>
      <c r="H47" s="199">
        <f t="shared" si="19"/>
        <v>-2215</v>
      </c>
      <c r="I47" s="233">
        <f t="shared" si="20"/>
        <v>-410</v>
      </c>
      <c r="J47" s="287">
        <f t="shared" si="6"/>
        <v>1.1007040751013442</v>
      </c>
      <c r="K47" s="209">
        <f t="shared" si="7"/>
        <v>0.91413064547392908</v>
      </c>
      <c r="L47" s="288">
        <f t="shared" si="8"/>
        <v>0.98261238337574219</v>
      </c>
      <c r="M47" s="246">
        <f t="shared" si="26"/>
        <v>0.10070407510134415</v>
      </c>
      <c r="N47" s="218">
        <f t="shared" si="27"/>
        <v>-8.5869354526070946E-2</v>
      </c>
      <c r="O47" s="247">
        <f t="shared" si="28"/>
        <v>-1.7387616624257845E-2</v>
      </c>
      <c r="P47" s="345"/>
    </row>
    <row r="48" spans="2:16" s="206" customFormat="1">
      <c r="B48" s="268"/>
      <c r="C48" s="234"/>
      <c r="D48" s="205"/>
      <c r="E48" s="205"/>
      <c r="F48" s="235"/>
      <c r="G48" s="286"/>
      <c r="H48" s="205"/>
      <c r="I48" s="235"/>
      <c r="J48" s="289"/>
      <c r="K48" s="211"/>
      <c r="L48" s="290"/>
      <c r="M48" s="295"/>
      <c r="N48" s="221"/>
      <c r="O48" s="296"/>
      <c r="P48" s="370"/>
    </row>
    <row r="49" spans="2:16" ht="15.95">
      <c r="B49" s="264" t="s">
        <v>115</v>
      </c>
      <c r="C49" s="229"/>
      <c r="D49" s="200"/>
      <c r="E49" s="200"/>
      <c r="F49" s="349"/>
      <c r="G49" s="347"/>
      <c r="H49" s="348"/>
      <c r="I49" s="349"/>
      <c r="J49" s="364"/>
      <c r="K49" s="365"/>
      <c r="L49" s="366"/>
      <c r="M49" s="367"/>
      <c r="N49" s="368"/>
      <c r="O49" s="369"/>
      <c r="P49" s="345"/>
    </row>
    <row r="50" spans="2:16" ht="15.95">
      <c r="B50" s="264" t="s">
        <v>116</v>
      </c>
      <c r="C50" s="229"/>
      <c r="D50" s="200"/>
      <c r="E50" s="200"/>
      <c r="F50" s="236"/>
      <c r="G50" s="229"/>
      <c r="H50" s="200"/>
      <c r="I50" s="236"/>
      <c r="J50" s="291"/>
      <c r="K50" s="210"/>
      <c r="L50" s="292"/>
      <c r="M50" s="252"/>
      <c r="N50" s="219"/>
      <c r="O50" s="253"/>
      <c r="P50" s="345"/>
    </row>
    <row r="51" spans="2:16" ht="15.95">
      <c r="B51" s="265" t="s">
        <v>117</v>
      </c>
      <c r="C51" s="350">
        <v>6</v>
      </c>
      <c r="D51" s="346">
        <v>6</v>
      </c>
      <c r="E51" s="346">
        <v>6</v>
      </c>
      <c r="F51" s="351">
        <v>6</v>
      </c>
      <c r="G51" s="350">
        <f t="shared" si="18"/>
        <v>0</v>
      </c>
      <c r="H51" s="346">
        <f t="shared" si="19"/>
        <v>0</v>
      </c>
      <c r="I51" s="351">
        <f t="shared" si="20"/>
        <v>0</v>
      </c>
      <c r="J51" s="352">
        <f t="shared" si="6"/>
        <v>1</v>
      </c>
      <c r="K51" s="353">
        <f t="shared" si="7"/>
        <v>1</v>
      </c>
      <c r="L51" s="354">
        <f t="shared" si="8"/>
        <v>1</v>
      </c>
      <c r="M51" s="355">
        <f t="shared" ref="M51" si="29">G51/C51</f>
        <v>0</v>
      </c>
      <c r="N51" s="356">
        <f t="shared" ref="N51" si="30">H51/D51</f>
        <v>0</v>
      </c>
      <c r="O51" s="357">
        <f t="shared" ref="O51" si="31">I51/E51</f>
        <v>0</v>
      </c>
      <c r="P51" s="345"/>
    </row>
    <row r="52" spans="2:16" ht="15.95">
      <c r="B52" s="265" t="s">
        <v>118</v>
      </c>
      <c r="C52" s="350">
        <v>1218</v>
      </c>
      <c r="D52" s="346">
        <v>1212</v>
      </c>
      <c r="E52" s="346">
        <v>1212</v>
      </c>
      <c r="F52" s="351">
        <v>1212</v>
      </c>
      <c r="G52" s="350">
        <f t="shared" si="18"/>
        <v>-6</v>
      </c>
      <c r="H52" s="346">
        <f t="shared" si="19"/>
        <v>0</v>
      </c>
      <c r="I52" s="351">
        <f t="shared" si="20"/>
        <v>0</v>
      </c>
      <c r="J52" s="352">
        <f t="shared" si="6"/>
        <v>0.99507389162561577</v>
      </c>
      <c r="K52" s="353">
        <f t="shared" si="7"/>
        <v>1</v>
      </c>
      <c r="L52" s="354">
        <f t="shared" si="8"/>
        <v>1</v>
      </c>
      <c r="M52" s="355">
        <f t="shared" ref="M52" si="32">G52/C52</f>
        <v>-4.9261083743842365E-3</v>
      </c>
      <c r="N52" s="356">
        <f t="shared" ref="N52" si="33">H52/D52</f>
        <v>0</v>
      </c>
      <c r="O52" s="357">
        <f t="shared" ref="O52" si="34">I52/E52</f>
        <v>0</v>
      </c>
      <c r="P52" s="345"/>
    </row>
    <row r="53" spans="2:16" ht="15.95">
      <c r="B53" s="269" t="s">
        <v>119</v>
      </c>
      <c r="C53" s="229">
        <v>-305</v>
      </c>
      <c r="D53" s="200"/>
      <c r="E53" s="200"/>
      <c r="F53" s="236"/>
      <c r="G53" s="229">
        <f t="shared" si="18"/>
        <v>305</v>
      </c>
      <c r="H53" s="200">
        <f t="shared" si="19"/>
        <v>0</v>
      </c>
      <c r="I53" s="236">
        <f t="shared" si="20"/>
        <v>0</v>
      </c>
      <c r="J53" s="291">
        <f t="shared" si="6"/>
        <v>0</v>
      </c>
      <c r="K53" s="210"/>
      <c r="L53" s="292"/>
      <c r="M53" s="252"/>
      <c r="N53" s="219"/>
      <c r="O53" s="253"/>
      <c r="P53" s="345"/>
    </row>
    <row r="54" spans="2:16" ht="15.95">
      <c r="B54" s="265" t="s">
        <v>120</v>
      </c>
      <c r="C54" s="350">
        <v>-5415</v>
      </c>
      <c r="D54" s="346">
        <v>-4541</v>
      </c>
      <c r="E54" s="346">
        <v>-6146</v>
      </c>
      <c r="F54" s="351">
        <v>-6979</v>
      </c>
      <c r="G54" s="350">
        <f t="shared" si="18"/>
        <v>874</v>
      </c>
      <c r="H54" s="346">
        <f t="shared" si="19"/>
        <v>-1605</v>
      </c>
      <c r="I54" s="351">
        <f t="shared" si="20"/>
        <v>-833</v>
      </c>
      <c r="J54" s="352">
        <f t="shared" si="6"/>
        <v>0.83859649122807023</v>
      </c>
      <c r="K54" s="353">
        <f t="shared" si="7"/>
        <v>1.3534463774499008</v>
      </c>
      <c r="L54" s="354">
        <f t="shared" si="8"/>
        <v>1.1355353075170842</v>
      </c>
      <c r="M54" s="355">
        <f t="shared" ref="M54" si="35">G54/C54</f>
        <v>-0.16140350877192983</v>
      </c>
      <c r="N54" s="356">
        <f t="shared" ref="N54" si="36">H54/D54</f>
        <v>0.35344637744990093</v>
      </c>
      <c r="O54" s="357">
        <f t="shared" ref="O54" si="37">I54/E54</f>
        <v>0.13553530751708429</v>
      </c>
      <c r="P54" s="345"/>
    </row>
    <row r="55" spans="2:16" ht="15.95">
      <c r="B55" s="265" t="s">
        <v>121</v>
      </c>
      <c r="C55" s="350">
        <v>8184</v>
      </c>
      <c r="D55" s="346">
        <v>10448</v>
      </c>
      <c r="E55" s="346">
        <v>11324</v>
      </c>
      <c r="F55" s="351">
        <v>12638</v>
      </c>
      <c r="G55" s="350">
        <f t="shared" si="18"/>
        <v>2264</v>
      </c>
      <c r="H55" s="346">
        <f t="shared" si="19"/>
        <v>876</v>
      </c>
      <c r="I55" s="351">
        <f t="shared" si="20"/>
        <v>1314</v>
      </c>
      <c r="J55" s="352">
        <f t="shared" si="6"/>
        <v>1.2766373411534702</v>
      </c>
      <c r="K55" s="353">
        <f t="shared" si="7"/>
        <v>1.0838437978560489</v>
      </c>
      <c r="L55" s="354">
        <f t="shared" si="8"/>
        <v>1.1160367361356411</v>
      </c>
      <c r="M55" s="355">
        <f t="shared" ref="M55:M81" si="38">G55/C55</f>
        <v>0.27663734115347016</v>
      </c>
      <c r="N55" s="356">
        <f t="shared" ref="N55:N81" si="39">H55/D55</f>
        <v>8.3843797856049007E-2</v>
      </c>
      <c r="O55" s="357">
        <f t="shared" ref="O55:O81" si="40">I55/E55</f>
        <v>0.11603673613564111</v>
      </c>
      <c r="P55" s="345"/>
    </row>
    <row r="56" spans="2:16">
      <c r="B56" s="270" t="s">
        <v>122</v>
      </c>
      <c r="C56" s="230">
        <v>4788</v>
      </c>
      <c r="D56" s="197">
        <v>8567</v>
      </c>
      <c r="E56" s="197">
        <v>7595</v>
      </c>
      <c r="F56" s="231">
        <v>8097</v>
      </c>
      <c r="G56" s="230">
        <f t="shared" si="18"/>
        <v>3779</v>
      </c>
      <c r="H56" s="197">
        <f t="shared" si="19"/>
        <v>-972</v>
      </c>
      <c r="I56" s="231">
        <f t="shared" si="20"/>
        <v>502</v>
      </c>
      <c r="J56" s="278">
        <f t="shared" si="6"/>
        <v>1.7892648287385129</v>
      </c>
      <c r="K56" s="207">
        <f t="shared" si="7"/>
        <v>0.88654137971285163</v>
      </c>
      <c r="L56" s="279">
        <f t="shared" si="8"/>
        <v>1.0660961158657012</v>
      </c>
      <c r="M56" s="244">
        <f t="shared" si="38"/>
        <v>0.789264828738513</v>
      </c>
      <c r="N56" s="216">
        <f t="shared" si="39"/>
        <v>-0.11345862028714836</v>
      </c>
      <c r="O56" s="245">
        <f t="shared" si="40"/>
        <v>6.6096115865701119E-2</v>
      </c>
      <c r="P56" s="345"/>
    </row>
    <row r="57" spans="2:16" ht="15.95">
      <c r="B57" s="264" t="s">
        <v>56</v>
      </c>
      <c r="C57" s="229"/>
      <c r="D57" s="200"/>
      <c r="E57" s="200"/>
      <c r="F57" s="236"/>
      <c r="G57" s="229"/>
      <c r="H57" s="200"/>
      <c r="I57" s="236"/>
      <c r="J57" s="291"/>
      <c r="K57" s="210"/>
      <c r="L57" s="292"/>
      <c r="M57" s="252"/>
      <c r="N57" s="219"/>
      <c r="O57" s="253"/>
      <c r="P57" s="345" t="s">
        <v>123</v>
      </c>
    </row>
    <row r="58" spans="2:16" ht="15.95">
      <c r="B58" s="265" t="s">
        <v>124</v>
      </c>
      <c r="C58" s="350">
        <v>8616</v>
      </c>
      <c r="D58" s="346">
        <v>7189</v>
      </c>
      <c r="E58" s="346">
        <v>5377</v>
      </c>
      <c r="F58" s="351">
        <v>7112</v>
      </c>
      <c r="G58" s="350">
        <f>D58-C58</f>
        <v>-1427</v>
      </c>
      <c r="H58" s="346">
        <f t="shared" ref="H58:I58" si="41">E58-D58</f>
        <v>-1812</v>
      </c>
      <c r="I58" s="351">
        <f t="shared" si="41"/>
        <v>1735</v>
      </c>
      <c r="J58" s="352">
        <f t="shared" si="6"/>
        <v>0.8343779015784587</v>
      </c>
      <c r="K58" s="353">
        <f t="shared" si="7"/>
        <v>0.74794825427736822</v>
      </c>
      <c r="L58" s="354">
        <f t="shared" si="8"/>
        <v>1.3226706341826298</v>
      </c>
      <c r="M58" s="371">
        <f t="shared" si="38"/>
        <v>-0.16562209842154132</v>
      </c>
      <c r="N58" s="372">
        <f t="shared" si="39"/>
        <v>-0.25205174572263178</v>
      </c>
      <c r="O58" s="373">
        <f t="shared" si="40"/>
        <v>0.3226706341826297</v>
      </c>
      <c r="P58" s="345"/>
    </row>
    <row r="59" spans="2:16" ht="15.95">
      <c r="B59" s="265" t="s">
        <v>125</v>
      </c>
      <c r="C59" s="350">
        <v>178</v>
      </c>
      <c r="D59" s="346">
        <v>190</v>
      </c>
      <c r="E59" s="346">
        <v>466</v>
      </c>
      <c r="F59" s="351">
        <v>381</v>
      </c>
      <c r="G59" s="350">
        <f t="shared" ref="G59:G66" si="42">D59-C59</f>
        <v>12</v>
      </c>
      <c r="H59" s="346">
        <f t="shared" ref="H59:H66" si="43">E59-D59</f>
        <v>276</v>
      </c>
      <c r="I59" s="351">
        <f t="shared" ref="I59:I66" si="44">F59-E59</f>
        <v>-85</v>
      </c>
      <c r="J59" s="352">
        <f t="shared" si="6"/>
        <v>1.0674157303370786</v>
      </c>
      <c r="K59" s="353">
        <f t="shared" si="7"/>
        <v>2.4526315789473685</v>
      </c>
      <c r="L59" s="354">
        <f t="shared" si="8"/>
        <v>0.81759656652360513</v>
      </c>
      <c r="M59" s="355">
        <f t="shared" si="38"/>
        <v>6.741573033707865E-2</v>
      </c>
      <c r="N59" s="356">
        <f t="shared" si="39"/>
        <v>1.4526315789473685</v>
      </c>
      <c r="O59" s="357">
        <f t="shared" si="40"/>
        <v>-0.18240343347639484</v>
      </c>
      <c r="P59" s="345"/>
    </row>
    <row r="60" spans="2:16" ht="15.95">
      <c r="B60" s="265" t="s">
        <v>126</v>
      </c>
      <c r="C60" s="350">
        <v>894</v>
      </c>
      <c r="D60" s="346">
        <v>916</v>
      </c>
      <c r="E60" s="346">
        <v>689</v>
      </c>
      <c r="F60" s="351">
        <v>881</v>
      </c>
      <c r="G60" s="350">
        <f t="shared" si="42"/>
        <v>22</v>
      </c>
      <c r="H60" s="346">
        <f t="shared" si="43"/>
        <v>-227</v>
      </c>
      <c r="I60" s="351">
        <f t="shared" si="44"/>
        <v>192</v>
      </c>
      <c r="J60" s="352">
        <f t="shared" si="6"/>
        <v>1.0246085011185682</v>
      </c>
      <c r="K60" s="353">
        <f t="shared" si="7"/>
        <v>0.75218340611353707</v>
      </c>
      <c r="L60" s="354">
        <f t="shared" si="8"/>
        <v>1.2786647314949202</v>
      </c>
      <c r="M60" s="355">
        <f t="shared" si="38"/>
        <v>2.4608501118568233E-2</v>
      </c>
      <c r="N60" s="356">
        <f t="shared" si="39"/>
        <v>-0.24781659388646288</v>
      </c>
      <c r="O60" s="357">
        <f t="shared" si="40"/>
        <v>0.27866473149492016</v>
      </c>
      <c r="P60" s="345"/>
    </row>
    <row r="61" spans="2:16" ht="15.95">
      <c r="B61" s="265" t="s">
        <v>127</v>
      </c>
      <c r="C61" s="350">
        <v>633</v>
      </c>
      <c r="D61" s="346">
        <v>613</v>
      </c>
      <c r="E61" s="346">
        <v>399</v>
      </c>
      <c r="F61" s="351">
        <v>299</v>
      </c>
      <c r="G61" s="350">
        <f t="shared" si="42"/>
        <v>-20</v>
      </c>
      <c r="H61" s="346">
        <f t="shared" si="43"/>
        <v>-214</v>
      </c>
      <c r="I61" s="351">
        <f t="shared" si="44"/>
        <v>-100</v>
      </c>
      <c r="J61" s="352">
        <f t="shared" si="6"/>
        <v>0.96840442338072674</v>
      </c>
      <c r="K61" s="353">
        <f t="shared" si="7"/>
        <v>0.65089722675367045</v>
      </c>
      <c r="L61" s="354">
        <f t="shared" si="8"/>
        <v>0.74937343358395991</v>
      </c>
      <c r="M61" s="371">
        <f t="shared" si="38"/>
        <v>-3.15955766192733E-2</v>
      </c>
      <c r="N61" s="372">
        <f t="shared" si="39"/>
        <v>-0.34910277324632955</v>
      </c>
      <c r="O61" s="373">
        <f t="shared" si="40"/>
        <v>-0.25062656641604009</v>
      </c>
      <c r="P61" s="345"/>
    </row>
    <row r="62" spans="2:16" ht="15.75" customHeight="1">
      <c r="B62" s="265" t="s">
        <v>128</v>
      </c>
      <c r="C62" s="350">
        <v>55</v>
      </c>
      <c r="D62" s="346">
        <v>56</v>
      </c>
      <c r="E62" s="346">
        <v>51</v>
      </c>
      <c r="F62" s="351">
        <v>41</v>
      </c>
      <c r="G62" s="350">
        <f t="shared" si="42"/>
        <v>1</v>
      </c>
      <c r="H62" s="346">
        <f t="shared" si="43"/>
        <v>-5</v>
      </c>
      <c r="I62" s="351">
        <f t="shared" si="44"/>
        <v>-10</v>
      </c>
      <c r="J62" s="352">
        <f t="shared" si="6"/>
        <v>1.0181818181818181</v>
      </c>
      <c r="K62" s="353">
        <f t="shared" si="7"/>
        <v>0.9107142857142857</v>
      </c>
      <c r="L62" s="354">
        <f t="shared" si="8"/>
        <v>0.80392156862745101</v>
      </c>
      <c r="M62" s="355">
        <f t="shared" si="38"/>
        <v>1.8181818181818181E-2</v>
      </c>
      <c r="N62" s="356">
        <f t="shared" si="39"/>
        <v>-8.9285714285714288E-2</v>
      </c>
      <c r="O62" s="357">
        <f t="shared" si="40"/>
        <v>-0.19607843137254902</v>
      </c>
      <c r="P62" s="345"/>
    </row>
    <row r="63" spans="2:16" ht="15.95">
      <c r="B63" s="265" t="s">
        <v>129</v>
      </c>
      <c r="C63" s="350">
        <v>72</v>
      </c>
      <c r="D63" s="346">
        <v>67</v>
      </c>
      <c r="E63" s="198">
        <v>0</v>
      </c>
      <c r="F63" s="237">
        <v>0</v>
      </c>
      <c r="G63" s="238">
        <f t="shared" si="42"/>
        <v>-5</v>
      </c>
      <c r="H63" s="198">
        <f t="shared" si="43"/>
        <v>-67</v>
      </c>
      <c r="I63" s="237">
        <f t="shared" si="44"/>
        <v>0</v>
      </c>
      <c r="J63" s="280">
        <f t="shared" si="6"/>
        <v>0.93055555555555558</v>
      </c>
      <c r="K63" s="208">
        <f t="shared" si="7"/>
        <v>0</v>
      </c>
      <c r="L63" s="281"/>
      <c r="M63" s="256">
        <f t="shared" si="38"/>
        <v>-6.9444444444444448E-2</v>
      </c>
      <c r="N63" s="217">
        <f t="shared" si="39"/>
        <v>-1</v>
      </c>
      <c r="O63" s="257"/>
      <c r="P63" s="345"/>
    </row>
    <row r="64" spans="2:16" ht="15.95">
      <c r="B64" s="265" t="s">
        <v>130</v>
      </c>
      <c r="C64" s="350">
        <v>73</v>
      </c>
      <c r="D64" s="346">
        <v>415</v>
      </c>
      <c r="E64" s="346">
        <v>142</v>
      </c>
      <c r="F64" s="351">
        <v>381</v>
      </c>
      <c r="G64" s="350">
        <f t="shared" si="42"/>
        <v>342</v>
      </c>
      <c r="H64" s="346">
        <f t="shared" si="43"/>
        <v>-273</v>
      </c>
      <c r="I64" s="351">
        <f t="shared" si="44"/>
        <v>239</v>
      </c>
      <c r="J64" s="352">
        <f t="shared" si="6"/>
        <v>5.6849315068493151</v>
      </c>
      <c r="K64" s="353">
        <f t="shared" si="7"/>
        <v>0.34216867469879519</v>
      </c>
      <c r="L64" s="354">
        <f t="shared" si="8"/>
        <v>2.683098591549296</v>
      </c>
      <c r="M64" s="371">
        <f t="shared" si="38"/>
        <v>4.6849315068493151</v>
      </c>
      <c r="N64" s="372">
        <f t="shared" si="39"/>
        <v>-0.65783132530120481</v>
      </c>
      <c r="O64" s="373">
        <f t="shared" si="40"/>
        <v>1.6830985915492958</v>
      </c>
      <c r="P64" s="345"/>
    </row>
    <row r="65" spans="2:16" ht="15.95">
      <c r="B65" s="265" t="s">
        <v>131</v>
      </c>
      <c r="C65" s="350">
        <v>43</v>
      </c>
      <c r="D65" s="346">
        <v>93</v>
      </c>
      <c r="E65" s="346">
        <v>30</v>
      </c>
      <c r="F65" s="351">
        <v>59</v>
      </c>
      <c r="G65" s="350">
        <f t="shared" si="42"/>
        <v>50</v>
      </c>
      <c r="H65" s="346">
        <f t="shared" si="43"/>
        <v>-63</v>
      </c>
      <c r="I65" s="351">
        <f t="shared" si="44"/>
        <v>29</v>
      </c>
      <c r="J65" s="352">
        <f t="shared" si="6"/>
        <v>2.1627906976744184</v>
      </c>
      <c r="K65" s="353">
        <f t="shared" si="7"/>
        <v>0.32258064516129031</v>
      </c>
      <c r="L65" s="354">
        <f t="shared" si="8"/>
        <v>1.9666666666666666</v>
      </c>
      <c r="M65" s="355">
        <f t="shared" si="38"/>
        <v>1.1627906976744187</v>
      </c>
      <c r="N65" s="356">
        <f t="shared" si="39"/>
        <v>-0.67741935483870963</v>
      </c>
      <c r="O65" s="357">
        <f t="shared" si="40"/>
        <v>0.96666666666666667</v>
      </c>
      <c r="P65" s="345"/>
    </row>
    <row r="66" spans="2:16" ht="15.95">
      <c r="B66" s="266" t="s">
        <v>132</v>
      </c>
      <c r="C66" s="230">
        <v>10564</v>
      </c>
      <c r="D66" s="197">
        <v>9539</v>
      </c>
      <c r="E66" s="197">
        <v>7154</v>
      </c>
      <c r="F66" s="231">
        <v>9154</v>
      </c>
      <c r="G66" s="230">
        <f t="shared" si="42"/>
        <v>-1025</v>
      </c>
      <c r="H66" s="197">
        <f t="shared" si="43"/>
        <v>-2385</v>
      </c>
      <c r="I66" s="231">
        <f t="shared" si="44"/>
        <v>2000</v>
      </c>
      <c r="J66" s="278">
        <f t="shared" si="6"/>
        <v>0.90297235895494132</v>
      </c>
      <c r="K66" s="207">
        <f t="shared" si="7"/>
        <v>0.74997379180207568</v>
      </c>
      <c r="L66" s="279">
        <f t="shared" si="8"/>
        <v>1.2795638803466591</v>
      </c>
      <c r="M66" s="244">
        <f>G66/C66</f>
        <v>-9.7027641045058691E-2</v>
      </c>
      <c r="N66" s="216">
        <f t="shared" si="39"/>
        <v>-0.25002620819792432</v>
      </c>
      <c r="O66" s="245">
        <f t="shared" si="40"/>
        <v>0.27956388034665919</v>
      </c>
      <c r="P66" s="345"/>
    </row>
    <row r="67" spans="2:16" ht="15.95">
      <c r="B67" s="264" t="s">
        <v>16</v>
      </c>
      <c r="C67" s="229"/>
      <c r="D67" s="200"/>
      <c r="E67" s="200"/>
      <c r="F67" s="236"/>
      <c r="G67" s="229"/>
      <c r="H67" s="200"/>
      <c r="I67" s="236"/>
      <c r="J67" s="291"/>
      <c r="K67" s="210"/>
      <c r="L67" s="292"/>
      <c r="M67" s="252"/>
      <c r="N67" s="219"/>
      <c r="O67" s="253"/>
      <c r="P67" s="345"/>
    </row>
    <row r="68" spans="2:16" ht="15.95">
      <c r="B68" s="265" t="s">
        <v>124</v>
      </c>
      <c r="C68" s="350">
        <v>1610</v>
      </c>
      <c r="D68" s="346">
        <v>4295</v>
      </c>
      <c r="E68" s="346">
        <v>4335</v>
      </c>
      <c r="F68" s="351">
        <v>2834</v>
      </c>
      <c r="G68" s="350">
        <f>D68-C68</f>
        <v>2685</v>
      </c>
      <c r="H68" s="346">
        <f t="shared" ref="H68" si="45">E68-D68</f>
        <v>40</v>
      </c>
      <c r="I68" s="351">
        <f t="shared" ref="I68" si="46">F68-E68</f>
        <v>-1501</v>
      </c>
      <c r="J68" s="352">
        <f t="shared" si="6"/>
        <v>2.6677018633540373</v>
      </c>
      <c r="K68" s="353">
        <f t="shared" si="7"/>
        <v>1.0093131548311991</v>
      </c>
      <c r="L68" s="354">
        <f t="shared" si="8"/>
        <v>0.65374855824682809</v>
      </c>
      <c r="M68" s="371">
        <f t="shared" si="38"/>
        <v>1.6677018633540373</v>
      </c>
      <c r="N68" s="372">
        <f t="shared" si="39"/>
        <v>9.3131548311990685E-3</v>
      </c>
      <c r="O68" s="373">
        <f t="shared" si="40"/>
        <v>-0.34625144175317185</v>
      </c>
      <c r="P68" s="345" t="s">
        <v>133</v>
      </c>
    </row>
    <row r="69" spans="2:16" ht="15.95">
      <c r="B69" s="265" t="s">
        <v>125</v>
      </c>
      <c r="C69" s="350">
        <v>57</v>
      </c>
      <c r="D69" s="346">
        <v>43</v>
      </c>
      <c r="E69" s="346">
        <v>54</v>
      </c>
      <c r="F69" s="351">
        <v>81</v>
      </c>
      <c r="G69" s="350">
        <f t="shared" ref="G69:G81" si="47">D69-C69</f>
        <v>-14</v>
      </c>
      <c r="H69" s="346">
        <f t="shared" ref="H69:H81" si="48">E69-D69</f>
        <v>11</v>
      </c>
      <c r="I69" s="351">
        <f t="shared" ref="I69:I81" si="49">F69-E69</f>
        <v>27</v>
      </c>
      <c r="J69" s="352">
        <f t="shared" ref="J69:J81" si="50">D69/C69</f>
        <v>0.75438596491228072</v>
      </c>
      <c r="K69" s="353">
        <f t="shared" ref="K69:K81" si="51">E69/D69</f>
        <v>1.2558139534883721</v>
      </c>
      <c r="L69" s="354">
        <f t="shared" ref="L69:L81" si="52">F69/E69</f>
        <v>1.5</v>
      </c>
      <c r="M69" s="371">
        <f t="shared" si="38"/>
        <v>-0.24561403508771928</v>
      </c>
      <c r="N69" s="372">
        <f t="shared" si="39"/>
        <v>0.2558139534883721</v>
      </c>
      <c r="O69" s="373">
        <f t="shared" si="40"/>
        <v>0.5</v>
      </c>
      <c r="P69" s="345"/>
    </row>
    <row r="70" spans="2:16" ht="15.95">
      <c r="B70" s="265" t="s">
        <v>134</v>
      </c>
      <c r="C70" s="350">
        <v>2224</v>
      </c>
      <c r="D70" s="346">
        <v>1381</v>
      </c>
      <c r="E70" s="346">
        <v>1273</v>
      </c>
      <c r="F70" s="351">
        <v>1209</v>
      </c>
      <c r="G70" s="350">
        <f t="shared" si="47"/>
        <v>-843</v>
      </c>
      <c r="H70" s="346">
        <f t="shared" si="48"/>
        <v>-108</v>
      </c>
      <c r="I70" s="351">
        <f t="shared" si="49"/>
        <v>-64</v>
      </c>
      <c r="J70" s="352">
        <f t="shared" si="50"/>
        <v>0.62095323741007191</v>
      </c>
      <c r="K70" s="353">
        <f t="shared" si="51"/>
        <v>0.92179580014482254</v>
      </c>
      <c r="L70" s="354">
        <f t="shared" si="52"/>
        <v>0.94972505891594661</v>
      </c>
      <c r="M70" s="371">
        <f t="shared" si="38"/>
        <v>-0.37904676258992803</v>
      </c>
      <c r="N70" s="372">
        <f t="shared" si="39"/>
        <v>-7.8204199855177403E-2</v>
      </c>
      <c r="O70" s="373">
        <f t="shared" si="40"/>
        <v>-5.0274941084053421E-2</v>
      </c>
      <c r="P70" s="345"/>
    </row>
    <row r="71" spans="2:16" ht="15.95">
      <c r="B71" s="265" t="s">
        <v>135</v>
      </c>
      <c r="C71" s="350">
        <v>3146</v>
      </c>
      <c r="D71" s="346">
        <v>496</v>
      </c>
      <c r="E71" s="346">
        <v>1924</v>
      </c>
      <c r="F71" s="351">
        <v>721</v>
      </c>
      <c r="G71" s="350">
        <f t="shared" si="47"/>
        <v>-2650</v>
      </c>
      <c r="H71" s="346">
        <f t="shared" si="48"/>
        <v>1428</v>
      </c>
      <c r="I71" s="351">
        <f t="shared" si="49"/>
        <v>-1203</v>
      </c>
      <c r="J71" s="352">
        <f t="shared" si="50"/>
        <v>0.15766052129688493</v>
      </c>
      <c r="K71" s="353">
        <f t="shared" si="51"/>
        <v>3.879032258064516</v>
      </c>
      <c r="L71" s="354">
        <f t="shared" si="52"/>
        <v>0.37474012474012475</v>
      </c>
      <c r="M71" s="355">
        <f t="shared" si="38"/>
        <v>-0.8423394787031151</v>
      </c>
      <c r="N71" s="356">
        <f t="shared" si="39"/>
        <v>2.879032258064516</v>
      </c>
      <c r="O71" s="357">
        <f t="shared" si="40"/>
        <v>-0.62525987525987525</v>
      </c>
      <c r="P71" s="345"/>
    </row>
    <row r="72" spans="2:16" ht="15.95">
      <c r="B72" s="265" t="s">
        <v>136</v>
      </c>
      <c r="C72" s="350">
        <v>417</v>
      </c>
      <c r="D72" s="346">
        <v>585</v>
      </c>
      <c r="E72" s="346">
        <v>555</v>
      </c>
      <c r="F72" s="351">
        <v>444</v>
      </c>
      <c r="G72" s="350">
        <f t="shared" si="47"/>
        <v>168</v>
      </c>
      <c r="H72" s="346">
        <f t="shared" si="48"/>
        <v>-30</v>
      </c>
      <c r="I72" s="351">
        <f t="shared" si="49"/>
        <v>-111</v>
      </c>
      <c r="J72" s="352">
        <f t="shared" si="50"/>
        <v>1.4028776978417266</v>
      </c>
      <c r="K72" s="353">
        <f t="shared" si="51"/>
        <v>0.94871794871794868</v>
      </c>
      <c r="L72" s="354">
        <f t="shared" si="52"/>
        <v>0.8</v>
      </c>
      <c r="M72" s="355">
        <f t="shared" si="38"/>
        <v>0.40287769784172661</v>
      </c>
      <c r="N72" s="356">
        <f t="shared" si="39"/>
        <v>-5.128205128205128E-2</v>
      </c>
      <c r="O72" s="357">
        <f t="shared" si="40"/>
        <v>-0.2</v>
      </c>
      <c r="P72" s="345"/>
    </row>
    <row r="73" spans="2:16" ht="15.95">
      <c r="B73" s="265" t="s">
        <v>126</v>
      </c>
      <c r="C73" s="350"/>
      <c r="D73" s="346">
        <v>180</v>
      </c>
      <c r="E73" s="346">
        <v>90</v>
      </c>
      <c r="F73" s="351">
        <v>173</v>
      </c>
      <c r="G73" s="350">
        <f t="shared" si="47"/>
        <v>180</v>
      </c>
      <c r="H73" s="346">
        <f t="shared" si="48"/>
        <v>-90</v>
      </c>
      <c r="I73" s="351">
        <f t="shared" si="49"/>
        <v>83</v>
      </c>
      <c r="J73" s="352"/>
      <c r="K73" s="353">
        <f t="shared" si="51"/>
        <v>0.5</v>
      </c>
      <c r="L73" s="354">
        <f t="shared" si="52"/>
        <v>1.9222222222222223</v>
      </c>
      <c r="M73" s="355"/>
      <c r="N73" s="356">
        <f t="shared" si="39"/>
        <v>-0.5</v>
      </c>
      <c r="O73" s="357">
        <f t="shared" si="40"/>
        <v>0.92222222222222228</v>
      </c>
      <c r="P73" s="345"/>
    </row>
    <row r="74" spans="2:16" ht="15.95">
      <c r="B74" s="265" t="s">
        <v>127</v>
      </c>
      <c r="C74" s="350">
        <v>158</v>
      </c>
      <c r="D74" s="346">
        <v>201</v>
      </c>
      <c r="E74" s="346">
        <v>207</v>
      </c>
      <c r="F74" s="351">
        <v>164</v>
      </c>
      <c r="G74" s="350">
        <f t="shared" si="47"/>
        <v>43</v>
      </c>
      <c r="H74" s="346">
        <f t="shared" si="48"/>
        <v>6</v>
      </c>
      <c r="I74" s="351">
        <f t="shared" si="49"/>
        <v>-43</v>
      </c>
      <c r="J74" s="352">
        <f t="shared" si="50"/>
        <v>1.2721518987341771</v>
      </c>
      <c r="K74" s="353">
        <f t="shared" si="51"/>
        <v>1.0298507462686568</v>
      </c>
      <c r="L74" s="354">
        <f t="shared" si="52"/>
        <v>0.79227053140096615</v>
      </c>
      <c r="M74" s="355">
        <f t="shared" si="38"/>
        <v>0.27215189873417722</v>
      </c>
      <c r="N74" s="356">
        <f t="shared" si="39"/>
        <v>2.9850746268656716E-2</v>
      </c>
      <c r="O74" s="357">
        <f t="shared" si="40"/>
        <v>-0.20772946859903382</v>
      </c>
      <c r="P74" s="345"/>
    </row>
    <row r="75" spans="2:16" ht="15.95">
      <c r="B75" s="265" t="s">
        <v>129</v>
      </c>
      <c r="C75" s="350">
        <v>15</v>
      </c>
      <c r="D75" s="198">
        <v>0</v>
      </c>
      <c r="E75" s="346">
        <v>114</v>
      </c>
      <c r="F75" s="237">
        <v>0</v>
      </c>
      <c r="G75" s="238">
        <f t="shared" si="47"/>
        <v>-15</v>
      </c>
      <c r="H75" s="198">
        <f t="shared" si="48"/>
        <v>114</v>
      </c>
      <c r="I75" s="237">
        <f t="shared" si="49"/>
        <v>-114</v>
      </c>
      <c r="J75" s="280">
        <f t="shared" si="50"/>
        <v>0</v>
      </c>
      <c r="K75" s="208"/>
      <c r="L75" s="281">
        <f t="shared" si="52"/>
        <v>0</v>
      </c>
      <c r="M75" s="256">
        <f t="shared" si="38"/>
        <v>-1</v>
      </c>
      <c r="N75" s="217"/>
      <c r="O75" s="257">
        <f t="shared" si="40"/>
        <v>-1</v>
      </c>
      <c r="P75" s="345"/>
    </row>
    <row r="76" spans="2:16" ht="15.95">
      <c r="B76" s="265" t="s">
        <v>137</v>
      </c>
      <c r="C76" s="350">
        <v>41</v>
      </c>
      <c r="D76" s="346">
        <v>169</v>
      </c>
      <c r="E76" s="346">
        <v>7</v>
      </c>
      <c r="F76" s="351">
        <v>49</v>
      </c>
      <c r="G76" s="350">
        <f t="shared" si="47"/>
        <v>128</v>
      </c>
      <c r="H76" s="346">
        <f t="shared" si="48"/>
        <v>-162</v>
      </c>
      <c r="I76" s="351">
        <f t="shared" si="49"/>
        <v>42</v>
      </c>
      <c r="J76" s="352">
        <f t="shared" si="50"/>
        <v>4.1219512195121952</v>
      </c>
      <c r="K76" s="353">
        <f t="shared" si="51"/>
        <v>4.142011834319527E-2</v>
      </c>
      <c r="L76" s="354">
        <f t="shared" si="52"/>
        <v>7</v>
      </c>
      <c r="M76" s="355">
        <f t="shared" si="38"/>
        <v>3.1219512195121952</v>
      </c>
      <c r="N76" s="356">
        <f t="shared" si="39"/>
        <v>-0.95857988165680474</v>
      </c>
      <c r="O76" s="357">
        <f t="shared" si="40"/>
        <v>6</v>
      </c>
      <c r="P76" s="345"/>
    </row>
    <row r="77" spans="2:16" ht="15.95">
      <c r="B77" s="265" t="s">
        <v>138</v>
      </c>
      <c r="C77" s="350">
        <v>269</v>
      </c>
      <c r="D77" s="346">
        <v>339</v>
      </c>
      <c r="E77" s="346">
        <v>272</v>
      </c>
      <c r="F77" s="351">
        <v>244</v>
      </c>
      <c r="G77" s="350">
        <f t="shared" si="47"/>
        <v>70</v>
      </c>
      <c r="H77" s="346">
        <f t="shared" si="48"/>
        <v>-67</v>
      </c>
      <c r="I77" s="351">
        <f t="shared" si="49"/>
        <v>-28</v>
      </c>
      <c r="J77" s="352">
        <f t="shared" si="50"/>
        <v>1.2602230483271375</v>
      </c>
      <c r="K77" s="353">
        <f t="shared" si="51"/>
        <v>0.80235988200589969</v>
      </c>
      <c r="L77" s="354">
        <f t="shared" si="52"/>
        <v>0.8970588235294118</v>
      </c>
      <c r="M77" s="355">
        <f t="shared" si="38"/>
        <v>0.26022304832713755</v>
      </c>
      <c r="N77" s="356">
        <f t="shared" si="39"/>
        <v>-0.19764011799410031</v>
      </c>
      <c r="O77" s="357">
        <f t="shared" si="40"/>
        <v>-0.10294117647058823</v>
      </c>
      <c r="P77" s="345"/>
    </row>
    <row r="78" spans="2:16" ht="15.95">
      <c r="B78" s="265" t="s">
        <v>139</v>
      </c>
      <c r="C78" s="238">
        <v>26</v>
      </c>
      <c r="D78" s="200"/>
      <c r="E78" s="200"/>
      <c r="F78" s="236"/>
      <c r="G78" s="229">
        <f t="shared" si="47"/>
        <v>-26</v>
      </c>
      <c r="H78" s="200">
        <f t="shared" si="48"/>
        <v>0</v>
      </c>
      <c r="I78" s="236">
        <f t="shared" si="49"/>
        <v>0</v>
      </c>
      <c r="J78" s="291">
        <f t="shared" si="50"/>
        <v>0</v>
      </c>
      <c r="K78" s="210"/>
      <c r="L78" s="292"/>
      <c r="M78" s="252">
        <f t="shared" si="38"/>
        <v>-1</v>
      </c>
      <c r="N78" s="219"/>
      <c r="O78" s="253"/>
      <c r="P78" s="345"/>
    </row>
    <row r="79" spans="2:16" ht="15.95">
      <c r="B79" s="266" t="s">
        <v>140</v>
      </c>
      <c r="C79" s="230">
        <v>8083</v>
      </c>
      <c r="D79" s="197">
        <v>7689</v>
      </c>
      <c r="E79" s="197">
        <v>8831</v>
      </c>
      <c r="F79" s="231">
        <v>5919</v>
      </c>
      <c r="G79" s="230">
        <f t="shared" si="47"/>
        <v>-394</v>
      </c>
      <c r="H79" s="197">
        <f t="shared" si="48"/>
        <v>1142</v>
      </c>
      <c r="I79" s="231">
        <f t="shared" si="49"/>
        <v>-2912</v>
      </c>
      <c r="J79" s="278">
        <f t="shared" si="50"/>
        <v>0.95125572188543861</v>
      </c>
      <c r="K79" s="207">
        <f t="shared" si="51"/>
        <v>1.1485238652620626</v>
      </c>
      <c r="L79" s="279">
        <f t="shared" si="52"/>
        <v>0.67025251953346165</v>
      </c>
      <c r="M79" s="244">
        <f t="shared" si="38"/>
        <v>-4.8744278114561425E-2</v>
      </c>
      <c r="N79" s="216">
        <f t="shared" si="39"/>
        <v>0.14852386526206268</v>
      </c>
      <c r="O79" s="245">
        <f t="shared" si="40"/>
        <v>-0.32974748046653835</v>
      </c>
      <c r="P79" s="345"/>
    </row>
    <row r="80" spans="2:16">
      <c r="B80" s="270" t="s">
        <v>141</v>
      </c>
      <c r="C80" s="230">
        <v>18647</v>
      </c>
      <c r="D80" s="197">
        <v>17228</v>
      </c>
      <c r="E80" s="197">
        <v>15985</v>
      </c>
      <c r="F80" s="231">
        <v>15073</v>
      </c>
      <c r="G80" s="230">
        <f t="shared" si="47"/>
        <v>-1419</v>
      </c>
      <c r="H80" s="197">
        <f t="shared" si="48"/>
        <v>-1243</v>
      </c>
      <c r="I80" s="231">
        <f t="shared" si="49"/>
        <v>-912</v>
      </c>
      <c r="J80" s="278">
        <f t="shared" si="50"/>
        <v>0.92390196814500991</v>
      </c>
      <c r="K80" s="207">
        <f t="shared" si="51"/>
        <v>0.9278500116090086</v>
      </c>
      <c r="L80" s="279">
        <f t="shared" si="52"/>
        <v>0.94294651235533311</v>
      </c>
      <c r="M80" s="244">
        <f t="shared" si="38"/>
        <v>-7.6098031854990075E-2</v>
      </c>
      <c r="N80" s="216">
        <f t="shared" si="39"/>
        <v>-7.2149988390991404E-2</v>
      </c>
      <c r="O80" s="245">
        <f t="shared" si="40"/>
        <v>-5.7053487644666875E-2</v>
      </c>
      <c r="P80" s="345"/>
    </row>
    <row r="81" spans="2:15" ht="15.95">
      <c r="B81" s="271" t="s">
        <v>142</v>
      </c>
      <c r="C81" s="239">
        <v>23435</v>
      </c>
      <c r="D81" s="240">
        <v>25795</v>
      </c>
      <c r="E81" s="240">
        <v>23580</v>
      </c>
      <c r="F81" s="241">
        <v>23170</v>
      </c>
      <c r="G81" s="277">
        <f t="shared" si="47"/>
        <v>2360</v>
      </c>
      <c r="H81" s="240">
        <f t="shared" si="48"/>
        <v>-2215</v>
      </c>
      <c r="I81" s="241">
        <f t="shared" si="49"/>
        <v>-410</v>
      </c>
      <c r="J81" s="282">
        <f t="shared" si="50"/>
        <v>1.1007040751013442</v>
      </c>
      <c r="K81" s="283">
        <f t="shared" si="51"/>
        <v>0.91413064547392908</v>
      </c>
      <c r="L81" s="284">
        <f t="shared" si="52"/>
        <v>0.98261238337574219</v>
      </c>
      <c r="M81" s="258">
        <f t="shared" si="38"/>
        <v>0.10070407510134415</v>
      </c>
      <c r="N81" s="259">
        <f t="shared" si="39"/>
        <v>-8.5869354526070946E-2</v>
      </c>
      <c r="O81" s="260">
        <f t="shared" si="40"/>
        <v>-1.7387616624257845E-2</v>
      </c>
    </row>
    <row r="82" spans="2:15">
      <c r="B82" s="203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</row>
    <row r="83" spans="2:15">
      <c r="B83" s="196"/>
      <c r="C83" s="346"/>
      <c r="D83" s="346"/>
      <c r="E83" s="346"/>
      <c r="F83" s="346"/>
      <c r="G83" s="200"/>
      <c r="H83" s="200"/>
      <c r="I83" s="200"/>
      <c r="J83" s="200"/>
      <c r="K83" s="200"/>
      <c r="L83" s="200"/>
      <c r="M83" s="200"/>
      <c r="N83" s="200"/>
      <c r="O83" s="200"/>
    </row>
    <row r="84" spans="2:15">
      <c r="B84" s="203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</row>
    <row r="85" spans="2:15">
      <c r="B85" s="203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</row>
    <row r="86" spans="2:15">
      <c r="B86" s="345"/>
      <c r="C86" s="346"/>
      <c r="D86" s="346"/>
      <c r="E86" s="346"/>
      <c r="F86" s="346"/>
      <c r="G86" s="346"/>
      <c r="H86" s="346"/>
      <c r="I86" s="346"/>
      <c r="J86" s="346"/>
      <c r="K86" s="346"/>
      <c r="L86" s="346"/>
      <c r="M86" s="346"/>
      <c r="N86" s="346"/>
      <c r="O86" s="346"/>
    </row>
    <row r="87" spans="2:15">
      <c r="B87" s="345"/>
      <c r="C87" s="346"/>
      <c r="D87" s="346"/>
      <c r="E87" s="346"/>
      <c r="F87" s="346"/>
      <c r="G87" s="346"/>
      <c r="H87" s="346"/>
      <c r="I87" s="346"/>
      <c r="J87" s="346"/>
      <c r="K87" s="346"/>
      <c r="L87" s="346"/>
      <c r="M87" s="346"/>
      <c r="N87" s="346"/>
      <c r="O87" s="346"/>
    </row>
    <row r="88" spans="2:15">
      <c r="B88" s="345"/>
      <c r="C88" s="346"/>
      <c r="D88" s="346"/>
      <c r="E88" s="346"/>
      <c r="F88" s="346"/>
      <c r="G88" s="346"/>
      <c r="H88" s="346"/>
      <c r="I88" s="346"/>
      <c r="J88" s="346"/>
      <c r="K88" s="346"/>
      <c r="L88" s="346"/>
      <c r="M88" s="346"/>
      <c r="N88" s="346"/>
      <c r="O88" s="346"/>
    </row>
    <row r="89" spans="2:15">
      <c r="B89" s="345"/>
      <c r="C89" s="346"/>
      <c r="D89" s="346"/>
      <c r="E89" s="346"/>
      <c r="F89" s="346"/>
      <c r="G89" s="346"/>
      <c r="H89" s="346"/>
      <c r="I89" s="346"/>
      <c r="J89" s="346"/>
      <c r="K89" s="346"/>
      <c r="L89" s="346"/>
      <c r="M89" s="346"/>
      <c r="N89" s="346"/>
      <c r="O89" s="346"/>
    </row>
    <row r="90" spans="2:15">
      <c r="B90" s="345"/>
      <c r="C90" s="346"/>
      <c r="D90" s="346"/>
      <c r="E90" s="346"/>
      <c r="F90" s="346"/>
      <c r="G90" s="346"/>
      <c r="H90" s="346"/>
      <c r="I90" s="346"/>
      <c r="J90" s="346"/>
      <c r="K90" s="346"/>
      <c r="L90" s="346"/>
      <c r="M90" s="346"/>
      <c r="N90" s="346"/>
      <c r="O90" s="346"/>
    </row>
    <row r="91" spans="2:15">
      <c r="B91" s="345"/>
      <c r="C91" s="346"/>
      <c r="D91" s="346"/>
      <c r="E91" s="346"/>
      <c r="F91" s="346"/>
      <c r="G91" s="346"/>
      <c r="H91" s="346"/>
      <c r="I91" s="346"/>
      <c r="J91" s="346"/>
      <c r="K91" s="346"/>
      <c r="L91" s="346"/>
      <c r="M91" s="346"/>
      <c r="N91" s="346"/>
      <c r="O91" s="346"/>
    </row>
    <row r="92" spans="2:15">
      <c r="B92" s="345"/>
      <c r="C92" s="346"/>
      <c r="D92" s="346"/>
      <c r="E92" s="346"/>
      <c r="F92" s="346"/>
      <c r="G92" s="346"/>
      <c r="H92" s="346"/>
      <c r="I92" s="346"/>
      <c r="J92" s="346"/>
      <c r="K92" s="346"/>
      <c r="L92" s="346"/>
      <c r="M92" s="346"/>
      <c r="N92" s="346"/>
      <c r="O92" s="346"/>
    </row>
    <row r="93" spans="2:15">
      <c r="B93" s="345"/>
      <c r="C93" s="346"/>
      <c r="D93" s="346"/>
      <c r="E93" s="346"/>
      <c r="F93" s="346"/>
      <c r="G93" s="346"/>
      <c r="H93" s="346"/>
      <c r="I93" s="346"/>
      <c r="J93" s="346"/>
      <c r="K93" s="346"/>
      <c r="L93" s="346"/>
      <c r="M93" s="346"/>
      <c r="N93" s="346"/>
      <c r="O93" s="346"/>
    </row>
    <row r="94" spans="2:15">
      <c r="B94" s="345"/>
      <c r="C94" s="346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</row>
    <row r="95" spans="2:15">
      <c r="B95" s="345"/>
      <c r="C95" s="346"/>
      <c r="D95" s="346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</row>
    <row r="96" spans="2:15">
      <c r="B96" s="345"/>
      <c r="C96" s="346"/>
      <c r="D96" s="346"/>
      <c r="E96" s="346"/>
      <c r="F96" s="346"/>
      <c r="G96" s="346"/>
      <c r="H96" s="346"/>
      <c r="I96" s="346"/>
      <c r="J96" s="346"/>
      <c r="K96" s="346"/>
      <c r="L96" s="346"/>
      <c r="M96" s="346"/>
      <c r="N96" s="346"/>
      <c r="O96" s="346"/>
    </row>
    <row r="97" spans="14:15">
      <c r="N97" s="346"/>
      <c r="O97" s="346"/>
    </row>
    <row r="98" spans="14:15">
      <c r="N98" s="346"/>
      <c r="O98" s="346"/>
    </row>
    <row r="99" spans="14:15">
      <c r="N99" s="346"/>
      <c r="O99" s="346"/>
    </row>
    <row r="100" spans="14:15">
      <c r="N100" s="346"/>
      <c r="O100" s="346"/>
    </row>
    <row r="101" spans="14:15">
      <c r="N101" s="346"/>
      <c r="O101" s="346"/>
    </row>
    <row r="102" spans="14:15">
      <c r="N102" s="346"/>
      <c r="O102" s="346"/>
    </row>
    <row r="103" spans="14:15">
      <c r="N103" s="346"/>
      <c r="O103" s="346"/>
    </row>
    <row r="104" spans="14:15">
      <c r="N104" s="346"/>
      <c r="O104" s="346"/>
    </row>
    <row r="105" spans="14:15">
      <c r="N105" s="346"/>
      <c r="O105" s="346"/>
    </row>
    <row r="106" spans="14:15">
      <c r="N106" s="346"/>
      <c r="O106" s="346"/>
    </row>
    <row r="107" spans="14:15">
      <c r="N107" s="346"/>
      <c r="O107" s="346"/>
    </row>
    <row r="108" spans="14:15">
      <c r="N108" s="346"/>
      <c r="O108" s="346"/>
    </row>
  </sheetData>
  <mergeCells count="10">
    <mergeCell ref="M2:O2"/>
    <mergeCell ref="J2:L2"/>
    <mergeCell ref="J25:L25"/>
    <mergeCell ref="M25:O25"/>
    <mergeCell ref="C2:F2"/>
    <mergeCell ref="B2:B3"/>
    <mergeCell ref="B25:B26"/>
    <mergeCell ref="C25:F25"/>
    <mergeCell ref="G25:I25"/>
    <mergeCell ref="G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59CC-52B8-4CC6-B9B1-0497F20AA8EF}">
  <sheetPr>
    <tabColor theme="5" tint="0.79998168889431442"/>
  </sheetPr>
  <dimension ref="A1:P108"/>
  <sheetViews>
    <sheetView showGridLines="0" topLeftCell="A60" zoomScaleNormal="100" workbookViewId="0">
      <pane xSplit="2" topLeftCell="F1" activePane="topRight" state="frozen"/>
      <selection pane="topRight" activeCell="S25" sqref="S25"/>
    </sheetView>
  </sheetViews>
  <sheetFormatPr defaultColWidth="8.85546875" defaultRowHeight="15"/>
  <cols>
    <col min="1" max="1" width="2.42578125" customWidth="1"/>
    <col min="2" max="2" width="68.140625" customWidth="1"/>
    <col min="3" max="3" width="2.85546875" hidden="1" customWidth="1"/>
    <col min="4" max="11" width="11.140625" customWidth="1"/>
    <col min="12" max="15" width="10.42578125" customWidth="1"/>
  </cols>
  <sheetData>
    <row r="1" spans="1:12">
      <c r="A1" s="345"/>
      <c r="B1" s="345"/>
      <c r="C1" s="345"/>
      <c r="D1" s="346"/>
      <c r="E1" s="346"/>
      <c r="F1" s="346"/>
      <c r="G1" s="346"/>
    </row>
    <row r="2" spans="1:12" ht="20.100000000000001" customHeight="1">
      <c r="A2" s="345"/>
      <c r="B2" s="532" t="s">
        <v>0</v>
      </c>
      <c r="C2" s="305"/>
      <c r="D2" s="529" t="s">
        <v>66</v>
      </c>
      <c r="E2" s="530"/>
      <c r="F2" s="530"/>
      <c r="G2" s="531"/>
      <c r="H2" s="529" t="s">
        <v>143</v>
      </c>
      <c r="I2" s="530"/>
      <c r="J2" s="530"/>
      <c r="K2" s="531"/>
    </row>
    <row r="3" spans="1:12" ht="15" customHeight="1">
      <c r="A3" s="345"/>
      <c r="B3" s="533"/>
      <c r="C3" s="306"/>
      <c r="D3" s="273">
        <v>2021</v>
      </c>
      <c r="E3" s="224">
        <v>2022</v>
      </c>
      <c r="F3" s="224">
        <v>2023</v>
      </c>
      <c r="G3" s="274">
        <v>2024</v>
      </c>
      <c r="H3" s="273">
        <v>2021</v>
      </c>
      <c r="I3" s="224">
        <v>2022</v>
      </c>
      <c r="J3" s="224">
        <v>2023</v>
      </c>
      <c r="K3" s="274">
        <v>2024</v>
      </c>
    </row>
    <row r="4" spans="1:12">
      <c r="A4" s="345"/>
      <c r="B4" s="263"/>
      <c r="C4" s="307"/>
      <c r="D4" s="225"/>
      <c r="E4" s="201"/>
      <c r="F4" s="201"/>
      <c r="G4" s="226"/>
      <c r="H4" s="225"/>
      <c r="I4" s="201"/>
      <c r="J4" s="201"/>
      <c r="K4" s="226"/>
    </row>
    <row r="5" spans="1:12" ht="15.95">
      <c r="A5" s="345"/>
      <c r="B5" s="264" t="s">
        <v>27</v>
      </c>
      <c r="C5" s="308"/>
      <c r="D5" s="347"/>
      <c r="E5" s="348"/>
      <c r="F5" s="348"/>
      <c r="G5" s="349"/>
      <c r="H5" s="347"/>
      <c r="I5" s="348"/>
      <c r="J5" s="348"/>
      <c r="K5" s="349"/>
    </row>
    <row r="6" spans="1:12" ht="15.95">
      <c r="A6" s="345"/>
      <c r="B6" s="265" t="s">
        <v>73</v>
      </c>
      <c r="C6" s="309"/>
      <c r="D6" s="350">
        <v>17103</v>
      </c>
      <c r="E6" s="346">
        <v>16073</v>
      </c>
      <c r="F6" s="346">
        <v>13702</v>
      </c>
      <c r="G6" s="351">
        <v>11848</v>
      </c>
      <c r="H6" s="355">
        <f>D6/D$8</f>
        <v>0.9580439166479946</v>
      </c>
      <c r="I6" s="356">
        <f t="shared" ref="I6:K6" si="0">E6/E$8</f>
        <v>0.95241763451054751</v>
      </c>
      <c r="J6" s="356">
        <f t="shared" si="0"/>
        <v>0.95093344437504335</v>
      </c>
      <c r="K6" s="357">
        <f t="shared" si="0"/>
        <v>0.9451934583167132</v>
      </c>
    </row>
    <row r="7" spans="1:12" ht="15.95">
      <c r="A7" s="345"/>
      <c r="B7" s="265" t="s">
        <v>74</v>
      </c>
      <c r="C7" s="309"/>
      <c r="D7" s="350">
        <v>749</v>
      </c>
      <c r="E7" s="346">
        <v>803</v>
      </c>
      <c r="F7" s="346">
        <v>707</v>
      </c>
      <c r="G7" s="351">
        <v>687</v>
      </c>
      <c r="H7" s="355">
        <f t="shared" ref="H7:H23" si="1">D7/D$8</f>
        <v>4.1956083352005374E-2</v>
      </c>
      <c r="I7" s="356">
        <f t="shared" ref="I7:I23" si="2">E7/E$8</f>
        <v>4.758236548945248E-2</v>
      </c>
      <c r="J7" s="356">
        <f t="shared" ref="J7:J23" si="3">F7/F$8</f>
        <v>4.9066555624956626E-2</v>
      </c>
      <c r="K7" s="357">
        <f t="shared" ref="K7:K23" si="4">G7/G$8</f>
        <v>5.4806541683286795E-2</v>
      </c>
    </row>
    <row r="8" spans="1:12" ht="15.95">
      <c r="A8" s="345"/>
      <c r="B8" s="272" t="s">
        <v>144</v>
      </c>
      <c r="C8" s="310"/>
      <c r="D8" s="230">
        <v>17852</v>
      </c>
      <c r="E8" s="197">
        <v>16876</v>
      </c>
      <c r="F8" s="197">
        <v>14409</v>
      </c>
      <c r="G8" s="231">
        <v>12535</v>
      </c>
      <c r="H8" s="244">
        <f t="shared" si="1"/>
        <v>1</v>
      </c>
      <c r="I8" s="216">
        <f t="shared" si="2"/>
        <v>1</v>
      </c>
      <c r="J8" s="216">
        <f t="shared" si="3"/>
        <v>1</v>
      </c>
      <c r="K8" s="245">
        <f t="shared" si="4"/>
        <v>1</v>
      </c>
      <c r="L8" t="s">
        <v>145</v>
      </c>
    </row>
    <row r="9" spans="1:12" ht="15" customHeight="1">
      <c r="A9" s="345"/>
      <c r="B9" s="265" t="s">
        <v>77</v>
      </c>
      <c r="C9" s="265" t="s">
        <v>146</v>
      </c>
      <c r="D9" s="350">
        <v>5057</v>
      </c>
      <c r="E9" s="346">
        <v>6103</v>
      </c>
      <c r="F9" s="346">
        <v>6344</v>
      </c>
      <c r="G9" s="351">
        <v>6232</v>
      </c>
      <c r="H9" s="371">
        <f t="shared" si="1"/>
        <v>0.28327358279184406</v>
      </c>
      <c r="I9" s="372">
        <f t="shared" si="2"/>
        <v>0.36163782886940032</v>
      </c>
      <c r="J9" s="372">
        <f t="shared" si="3"/>
        <v>0.44028038031785688</v>
      </c>
      <c r="K9" s="373">
        <f t="shared" si="4"/>
        <v>0.4971679297965696</v>
      </c>
    </row>
    <row r="10" spans="1:12" ht="15" customHeight="1">
      <c r="A10" s="345"/>
      <c r="B10" s="265" t="s">
        <v>78</v>
      </c>
      <c r="C10" s="309" t="s">
        <v>147</v>
      </c>
      <c r="D10" s="350">
        <v>-753</v>
      </c>
      <c r="E10" s="346">
        <v>-810</v>
      </c>
      <c r="F10" s="346">
        <v>-688</v>
      </c>
      <c r="G10" s="351">
        <v>-656</v>
      </c>
      <c r="H10" s="355">
        <f t="shared" si="1"/>
        <v>-4.2180147882590183E-2</v>
      </c>
      <c r="I10" s="356">
        <f t="shared" si="2"/>
        <v>-4.7997155724105241E-2</v>
      </c>
      <c r="J10" s="356">
        <f t="shared" si="3"/>
        <v>-4.7747935318203899E-2</v>
      </c>
      <c r="K10" s="357">
        <f t="shared" si="4"/>
        <v>-5.2333466294375748E-2</v>
      </c>
    </row>
    <row r="11" spans="1:12" ht="15.95">
      <c r="A11" s="345"/>
      <c r="B11" s="272" t="s">
        <v>79</v>
      </c>
      <c r="C11" s="310"/>
      <c r="D11" s="230">
        <v>12042</v>
      </c>
      <c r="E11" s="197">
        <v>9963</v>
      </c>
      <c r="F11" s="197">
        <v>7377</v>
      </c>
      <c r="G11" s="231">
        <v>5647</v>
      </c>
      <c r="H11" s="244">
        <f t="shared" si="1"/>
        <v>0.67454626932556572</v>
      </c>
      <c r="I11" s="216">
        <f t="shared" si="2"/>
        <v>0.59036501540649444</v>
      </c>
      <c r="J11" s="216">
        <f t="shared" si="3"/>
        <v>0.51197168436393925</v>
      </c>
      <c r="K11" s="245">
        <f t="shared" si="4"/>
        <v>0.45049860390905466</v>
      </c>
    </row>
    <row r="12" spans="1:12" ht="15" customHeight="1">
      <c r="A12" s="345"/>
      <c r="B12" s="265" t="s">
        <v>80</v>
      </c>
      <c r="C12" s="265" t="s">
        <v>148</v>
      </c>
      <c r="D12" s="350">
        <v>-989</v>
      </c>
      <c r="E12" s="346">
        <v>-1353</v>
      </c>
      <c r="F12" s="346">
        <v>-1093</v>
      </c>
      <c r="G12" s="351">
        <v>-1046</v>
      </c>
      <c r="H12" s="355">
        <f t="shared" si="1"/>
        <v>-5.5399955187093883E-2</v>
      </c>
      <c r="I12" s="356">
        <f t="shared" si="2"/>
        <v>-8.0173026783598014E-2</v>
      </c>
      <c r="J12" s="356">
        <f t="shared" si="3"/>
        <v>-7.5855368172669857E-2</v>
      </c>
      <c r="K12" s="357">
        <f t="shared" si="4"/>
        <v>-8.344635021938572E-2</v>
      </c>
    </row>
    <row r="13" spans="1:12" ht="15" customHeight="1">
      <c r="A13" s="345"/>
      <c r="B13" s="265" t="s">
        <v>81</v>
      </c>
      <c r="C13" s="265" t="s">
        <v>149</v>
      </c>
      <c r="D13" s="350">
        <v>-184</v>
      </c>
      <c r="E13" s="346">
        <v>-261</v>
      </c>
      <c r="F13" s="346">
        <v>-296</v>
      </c>
      <c r="G13" s="351">
        <v>-408</v>
      </c>
      <c r="H13" s="355">
        <f t="shared" si="1"/>
        <v>-1.0306968406901188E-2</v>
      </c>
      <c r="I13" s="356">
        <f t="shared" si="2"/>
        <v>-1.5465750177767244E-2</v>
      </c>
      <c r="J13" s="356">
        <f t="shared" si="3"/>
        <v>-2.0542716357831909E-2</v>
      </c>
      <c r="K13" s="357">
        <f t="shared" si="4"/>
        <v>-3.2548863183087355E-2</v>
      </c>
    </row>
    <row r="14" spans="1:12" ht="15" customHeight="1">
      <c r="A14" s="345"/>
      <c r="B14" s="265" t="s">
        <v>83</v>
      </c>
      <c r="C14" s="265" t="s">
        <v>150</v>
      </c>
      <c r="D14" s="350">
        <v>-48</v>
      </c>
      <c r="E14" s="346">
        <v>-90</v>
      </c>
      <c r="F14" s="346">
        <v>-179</v>
      </c>
      <c r="G14" s="351">
        <v>-441</v>
      </c>
      <c r="H14" s="355">
        <f t="shared" si="1"/>
        <v>-2.6887743670177011E-3</v>
      </c>
      <c r="I14" s="356">
        <f t="shared" si="2"/>
        <v>-5.3330173026783596E-3</v>
      </c>
      <c r="J14" s="356">
        <f t="shared" si="3"/>
        <v>-1.2422791310986189E-2</v>
      </c>
      <c r="K14" s="357">
        <f t="shared" si="4"/>
        <v>-3.5181491822895893E-2</v>
      </c>
    </row>
    <row r="15" spans="1:12" ht="15" customHeight="1">
      <c r="A15" s="345"/>
      <c r="B15" s="265" t="s">
        <v>84</v>
      </c>
      <c r="C15" s="265" t="s">
        <v>151</v>
      </c>
      <c r="D15" s="350">
        <v>-1285</v>
      </c>
      <c r="E15" s="346">
        <v>-678</v>
      </c>
      <c r="F15" s="346">
        <v>-269</v>
      </c>
      <c r="G15" s="351">
        <v>-178</v>
      </c>
      <c r="H15" s="355">
        <f t="shared" si="1"/>
        <v>-7.1980730450369707E-2</v>
      </c>
      <c r="I15" s="356">
        <f t="shared" si="2"/>
        <v>-4.0175397013510313E-2</v>
      </c>
      <c r="J15" s="356">
        <f t="shared" si="3"/>
        <v>-1.8668887500867513E-2</v>
      </c>
      <c r="K15" s="357">
        <f t="shared" si="4"/>
        <v>-1.4200239329876347E-2</v>
      </c>
    </row>
    <row r="16" spans="1:12" ht="15.95">
      <c r="A16" s="345"/>
      <c r="B16" s="272" t="s">
        <v>85</v>
      </c>
      <c r="C16" s="310"/>
      <c r="D16" s="230">
        <v>9536</v>
      </c>
      <c r="E16" s="197">
        <v>7581</v>
      </c>
      <c r="F16" s="197">
        <v>5540</v>
      </c>
      <c r="G16" s="231">
        <v>3574</v>
      </c>
      <c r="H16" s="244">
        <f t="shared" si="1"/>
        <v>0.53416984091418329</v>
      </c>
      <c r="I16" s="216">
        <f t="shared" si="2"/>
        <v>0.44921782412894051</v>
      </c>
      <c r="J16" s="216">
        <f t="shared" si="3"/>
        <v>0.38448192102158374</v>
      </c>
      <c r="K16" s="245">
        <f t="shared" si="4"/>
        <v>0.28512165935380934</v>
      </c>
    </row>
    <row r="17" spans="1:15" ht="15" customHeight="1">
      <c r="A17" s="345"/>
      <c r="B17" s="265" t="s">
        <v>86</v>
      </c>
      <c r="C17" s="265" t="s">
        <v>152</v>
      </c>
      <c r="D17" s="350">
        <v>-53</v>
      </c>
      <c r="E17" s="346">
        <v>251</v>
      </c>
      <c r="F17" s="346">
        <v>-1512</v>
      </c>
      <c r="G17" s="351">
        <v>-343</v>
      </c>
      <c r="H17" s="355">
        <f t="shared" si="1"/>
        <v>-2.9688550302487118E-3</v>
      </c>
      <c r="I17" s="356">
        <f t="shared" si="2"/>
        <v>1.4873192699691871E-2</v>
      </c>
      <c r="J17" s="356">
        <f t="shared" si="3"/>
        <v>-0.10493441599000625</v>
      </c>
      <c r="K17" s="357">
        <f t="shared" si="4"/>
        <v>-2.7363382528919025E-2</v>
      </c>
    </row>
    <row r="18" spans="1:15" ht="15" customHeight="1">
      <c r="A18" s="345"/>
      <c r="B18" s="265" t="s">
        <v>87</v>
      </c>
      <c r="C18" s="265" t="s">
        <v>153</v>
      </c>
      <c r="D18" s="350">
        <v>-279</v>
      </c>
      <c r="E18" s="346">
        <v>-493</v>
      </c>
      <c r="F18" s="346">
        <v>-567</v>
      </c>
      <c r="G18" s="351">
        <v>-896</v>
      </c>
      <c r="H18" s="355">
        <f t="shared" si="1"/>
        <v>-1.5628501008290389E-2</v>
      </c>
      <c r="I18" s="356">
        <f t="shared" si="2"/>
        <v>-2.9213083669115906E-2</v>
      </c>
      <c r="J18" s="356">
        <f t="shared" si="3"/>
        <v>-3.9350405996252343E-2</v>
      </c>
      <c r="K18" s="357">
        <f t="shared" si="4"/>
        <v>-7.1479856402074188E-2</v>
      </c>
    </row>
    <row r="19" spans="1:15" ht="32.25" customHeight="1">
      <c r="A19" s="345"/>
      <c r="B19" s="265" t="s">
        <v>88</v>
      </c>
      <c r="C19" s="265" t="s">
        <v>154</v>
      </c>
      <c r="D19" s="350">
        <v>29</v>
      </c>
      <c r="E19" s="346">
        <v>-110</v>
      </c>
      <c r="F19" s="346">
        <v>32</v>
      </c>
      <c r="G19" s="237">
        <v>0</v>
      </c>
      <c r="H19" s="256">
        <f t="shared" si="1"/>
        <v>1.6244678467398611E-3</v>
      </c>
      <c r="I19" s="217">
        <f t="shared" si="2"/>
        <v>-6.5181322588291069E-3</v>
      </c>
      <c r="J19" s="217">
        <f t="shared" si="3"/>
        <v>2.2208342008466931E-3</v>
      </c>
      <c r="K19" s="257">
        <f t="shared" si="4"/>
        <v>0</v>
      </c>
    </row>
    <row r="20" spans="1:15" ht="15" customHeight="1">
      <c r="A20" s="345"/>
      <c r="B20" s="265" t="s">
        <v>89</v>
      </c>
      <c r="C20" s="309" t="s">
        <v>155</v>
      </c>
      <c r="D20" s="350">
        <v>52</v>
      </c>
      <c r="E20" s="346">
        <v>150</v>
      </c>
      <c r="F20" s="346">
        <v>41</v>
      </c>
      <c r="G20" s="351">
        <v>69</v>
      </c>
      <c r="H20" s="355">
        <f t="shared" si="1"/>
        <v>2.9128388976025093E-3</v>
      </c>
      <c r="I20" s="356">
        <f t="shared" si="2"/>
        <v>8.8883621711305996E-3</v>
      </c>
      <c r="J20" s="356">
        <f t="shared" si="3"/>
        <v>2.8454438198348255E-3</v>
      </c>
      <c r="K20" s="357">
        <f t="shared" si="4"/>
        <v>5.5045871559633031E-3</v>
      </c>
    </row>
    <row r="21" spans="1:15" ht="15.95">
      <c r="A21" s="345"/>
      <c r="B21" s="272" t="s">
        <v>90</v>
      </c>
      <c r="C21" s="310"/>
      <c r="D21" s="230">
        <v>9285</v>
      </c>
      <c r="E21" s="197">
        <v>7379</v>
      </c>
      <c r="F21" s="197">
        <v>3534</v>
      </c>
      <c r="G21" s="231">
        <v>2404</v>
      </c>
      <c r="H21" s="244">
        <f t="shared" si="1"/>
        <v>0.52010979161998661</v>
      </c>
      <c r="I21" s="216">
        <f t="shared" si="2"/>
        <v>0.43724816307181796</v>
      </c>
      <c r="J21" s="216">
        <f t="shared" si="3"/>
        <v>0.24526337705600668</v>
      </c>
      <c r="K21" s="245">
        <f t="shared" si="4"/>
        <v>0.19178300757877942</v>
      </c>
    </row>
    <row r="22" spans="1:15" ht="15" customHeight="1">
      <c r="A22" s="345"/>
      <c r="B22" s="265" t="s">
        <v>91</v>
      </c>
      <c r="C22" s="309" t="s">
        <v>156</v>
      </c>
      <c r="D22" s="350">
        <v>-2311</v>
      </c>
      <c r="E22" s="346">
        <v>-1525</v>
      </c>
      <c r="F22" s="346">
        <v>-664</v>
      </c>
      <c r="G22" s="351">
        <v>-589</v>
      </c>
      <c r="H22" s="371">
        <f t="shared" si="1"/>
        <v>-0.12945328254537306</v>
      </c>
      <c r="I22" s="356">
        <f t="shared" si="2"/>
        <v>-9.0365015406494428E-2</v>
      </c>
      <c r="J22" s="356">
        <f t="shared" si="3"/>
        <v>-4.6082309667568884E-2</v>
      </c>
      <c r="K22" s="357">
        <f t="shared" si="4"/>
        <v>-4.6988432389309935E-2</v>
      </c>
    </row>
    <row r="23" spans="1:15" ht="15.95">
      <c r="A23" s="345"/>
      <c r="B23" s="271" t="s">
        <v>92</v>
      </c>
      <c r="C23" s="311"/>
      <c r="D23" s="239">
        <v>6974</v>
      </c>
      <c r="E23" s="240">
        <v>5854</v>
      </c>
      <c r="F23" s="240">
        <v>2870</v>
      </c>
      <c r="G23" s="241">
        <v>1815</v>
      </c>
      <c r="H23" s="258">
        <f t="shared" si="1"/>
        <v>0.39065650907461347</v>
      </c>
      <c r="I23" s="259">
        <f t="shared" si="2"/>
        <v>0.34688314766532352</v>
      </c>
      <c r="J23" s="259">
        <f t="shared" si="3"/>
        <v>0.19918106738843777</v>
      </c>
      <c r="K23" s="260">
        <f t="shared" si="4"/>
        <v>0.14479457518946948</v>
      </c>
    </row>
    <row r="24" spans="1:15">
      <c r="A24" s="345"/>
      <c r="B24" s="203"/>
      <c r="C24" s="203"/>
      <c r="D24" s="200"/>
      <c r="E24" s="200"/>
      <c r="F24" s="200"/>
      <c r="G24" s="200"/>
    </row>
    <row r="25" spans="1:15" ht="20.100000000000001" customHeight="1">
      <c r="A25" s="345"/>
      <c r="B25" s="534" t="s">
        <v>93</v>
      </c>
      <c r="C25" s="312"/>
      <c r="D25" s="529" t="s">
        <v>66</v>
      </c>
      <c r="E25" s="530"/>
      <c r="F25" s="530"/>
      <c r="G25" s="531"/>
      <c r="H25" s="529" t="s">
        <v>157</v>
      </c>
      <c r="I25" s="530"/>
      <c r="J25" s="530"/>
      <c r="K25" s="531"/>
      <c r="L25" s="529" t="s">
        <v>158</v>
      </c>
      <c r="M25" s="530"/>
      <c r="N25" s="530"/>
      <c r="O25" s="531"/>
    </row>
    <row r="26" spans="1:15" ht="15" customHeight="1">
      <c r="A26" s="345"/>
      <c r="B26" s="535"/>
      <c r="C26" s="313"/>
      <c r="D26" s="273">
        <v>2021</v>
      </c>
      <c r="E26" s="224">
        <v>2022</v>
      </c>
      <c r="F26" s="224">
        <v>2023</v>
      </c>
      <c r="G26" s="274">
        <v>2024</v>
      </c>
      <c r="H26" s="273">
        <v>2021</v>
      </c>
      <c r="I26" s="224">
        <v>2022</v>
      </c>
      <c r="J26" s="224">
        <v>2023</v>
      </c>
      <c r="K26" s="274">
        <v>2024</v>
      </c>
      <c r="L26" s="273">
        <v>2021</v>
      </c>
      <c r="M26" s="224">
        <v>2022</v>
      </c>
      <c r="N26" s="224">
        <v>2023</v>
      </c>
      <c r="O26" s="274">
        <v>2024</v>
      </c>
    </row>
    <row r="27" spans="1:15">
      <c r="A27" s="345"/>
      <c r="B27" s="263"/>
      <c r="C27" s="307"/>
      <c r="D27" s="225"/>
      <c r="E27" s="201"/>
      <c r="F27" s="201"/>
      <c r="G27" s="226"/>
      <c r="H27" s="225"/>
      <c r="I27" s="201"/>
      <c r="J27" s="201"/>
      <c r="K27" s="226"/>
      <c r="L27" s="225"/>
      <c r="M27" s="201"/>
      <c r="N27" s="201"/>
      <c r="O27" s="226"/>
    </row>
    <row r="28" spans="1:15" ht="15.95">
      <c r="A28" s="345"/>
      <c r="B28" s="264" t="s">
        <v>94</v>
      </c>
      <c r="C28" s="308"/>
      <c r="D28" s="227"/>
      <c r="E28" s="202"/>
      <c r="F28" s="202"/>
      <c r="G28" s="228"/>
      <c r="H28" s="242"/>
      <c r="I28" s="214"/>
      <c r="J28" s="214"/>
      <c r="K28" s="243"/>
      <c r="L28" s="261"/>
      <c r="M28" s="15"/>
      <c r="N28" s="15"/>
      <c r="O28" s="262"/>
    </row>
    <row r="29" spans="1:15" ht="15.95">
      <c r="A29" s="345"/>
      <c r="B29" s="264" t="s">
        <v>95</v>
      </c>
      <c r="C29" s="308"/>
      <c r="D29" s="227"/>
      <c r="E29" s="358"/>
      <c r="F29" s="358"/>
      <c r="G29" s="359"/>
      <c r="H29" s="374"/>
      <c r="I29" s="375"/>
      <c r="J29" s="375"/>
      <c r="K29" s="376"/>
      <c r="L29" s="261"/>
      <c r="M29" s="15"/>
      <c r="N29" s="15"/>
      <c r="O29" s="262"/>
    </row>
    <row r="30" spans="1:15" ht="15" customHeight="1">
      <c r="A30" s="345"/>
      <c r="B30" s="265" t="s">
        <v>96</v>
      </c>
      <c r="C30" s="265" t="s">
        <v>96</v>
      </c>
      <c r="D30" s="350">
        <v>12699</v>
      </c>
      <c r="E30" s="346">
        <v>16264</v>
      </c>
      <c r="F30" s="346">
        <v>15181</v>
      </c>
      <c r="G30" s="351">
        <v>15261</v>
      </c>
      <c r="H30" s="355">
        <f>D30/D$47</f>
        <v>0.5418818007254107</v>
      </c>
      <c r="I30" s="356">
        <f t="shared" ref="I30:K30" si="5">E30/E$47</f>
        <v>0.63050978871874397</v>
      </c>
      <c r="J30" s="356">
        <f t="shared" si="5"/>
        <v>0.64380831212892287</v>
      </c>
      <c r="K30" s="357">
        <f t="shared" si="5"/>
        <v>0.65865343116098407</v>
      </c>
      <c r="L30" s="355">
        <f>D30/D$36</f>
        <v>0.93615923332104678</v>
      </c>
      <c r="M30" s="356">
        <f t="shared" ref="M30:O30" si="6">E30/E$36</f>
        <v>0.93514259429622815</v>
      </c>
      <c r="N30" s="356">
        <f t="shared" si="6"/>
        <v>0.93490577657346963</v>
      </c>
      <c r="O30" s="357">
        <f t="shared" si="6"/>
        <v>0.93482388973966313</v>
      </c>
    </row>
    <row r="31" spans="1:15" ht="15" customHeight="1">
      <c r="A31" s="345"/>
      <c r="B31" s="265" t="s">
        <v>98</v>
      </c>
      <c r="C31" s="265" t="s">
        <v>98</v>
      </c>
      <c r="D31" s="350">
        <v>265</v>
      </c>
      <c r="E31" s="346">
        <v>302</v>
      </c>
      <c r="F31" s="346">
        <v>238</v>
      </c>
      <c r="G31" s="351">
        <v>206</v>
      </c>
      <c r="H31" s="355">
        <f t="shared" ref="H31:H36" si="7">D31/D$47</f>
        <v>1.1307872839769575E-2</v>
      </c>
      <c r="I31" s="356">
        <f t="shared" ref="I31:I36" si="8">E31/E$47</f>
        <v>1.1707695289784843E-2</v>
      </c>
      <c r="J31" s="356">
        <f t="shared" ref="J31:J36" si="9">F31/F$47</f>
        <v>1.0093299406276506E-2</v>
      </c>
      <c r="K31" s="357">
        <f t="shared" ref="K31:K36" si="10">G31/G$47</f>
        <v>8.8908070781182572E-3</v>
      </c>
      <c r="L31" s="355">
        <f t="shared" ref="L31:L36" si="11">D31/D$36</f>
        <v>1.9535569480280134E-2</v>
      </c>
      <c r="M31" s="356">
        <f t="shared" ref="M31:M36" si="12">E31/E$36</f>
        <v>1.7364305427782889E-2</v>
      </c>
      <c r="N31" s="356">
        <f t="shared" ref="N31:N36" si="13">F31/F$36</f>
        <v>1.4656977460278359E-2</v>
      </c>
      <c r="O31" s="357">
        <f t="shared" ref="O31:O36" si="14">G31/G$36</f>
        <v>1.2618683001531393E-2</v>
      </c>
    </row>
    <row r="32" spans="1:15" ht="15" customHeight="1">
      <c r="A32" s="345"/>
      <c r="B32" s="265" t="s">
        <v>99</v>
      </c>
      <c r="C32" s="265" t="s">
        <v>159</v>
      </c>
      <c r="D32" s="229"/>
      <c r="E32" s="346">
        <v>8</v>
      </c>
      <c r="F32" s="346">
        <v>76</v>
      </c>
      <c r="G32" s="351">
        <v>181</v>
      </c>
      <c r="H32" s="355">
        <f t="shared" si="7"/>
        <v>0</v>
      </c>
      <c r="I32" s="356">
        <f t="shared" si="8"/>
        <v>3.1013762357045942E-4</v>
      </c>
      <c r="J32" s="356">
        <f t="shared" si="9"/>
        <v>3.2230703986429179E-3</v>
      </c>
      <c r="K32" s="357">
        <f t="shared" si="10"/>
        <v>7.8118256365990509E-3</v>
      </c>
      <c r="L32" s="355">
        <f t="shared" si="11"/>
        <v>0</v>
      </c>
      <c r="M32" s="356">
        <f t="shared" si="12"/>
        <v>4.5998160073597056E-4</v>
      </c>
      <c r="N32" s="356">
        <f t="shared" si="13"/>
        <v>4.6803793570636774E-3</v>
      </c>
      <c r="O32" s="357">
        <f t="shared" si="14"/>
        <v>1.1087289433384381E-2</v>
      </c>
    </row>
    <row r="33" spans="1:16" ht="15" customHeight="1">
      <c r="A33" s="345"/>
      <c r="B33" s="265" t="s">
        <v>100</v>
      </c>
      <c r="C33" s="265" t="s">
        <v>100</v>
      </c>
      <c r="D33" s="350">
        <v>89</v>
      </c>
      <c r="E33" s="346">
        <v>113</v>
      </c>
      <c r="F33" s="346">
        <v>58</v>
      </c>
      <c r="G33" s="351">
        <v>57</v>
      </c>
      <c r="H33" s="355">
        <f t="shared" si="7"/>
        <v>3.7977384254320461E-3</v>
      </c>
      <c r="I33" s="356">
        <f t="shared" si="8"/>
        <v>4.3806939329327386E-3</v>
      </c>
      <c r="J33" s="356">
        <f t="shared" si="9"/>
        <v>2.4597116200169634E-3</v>
      </c>
      <c r="K33" s="357">
        <f t="shared" si="10"/>
        <v>2.4600776866637894E-3</v>
      </c>
      <c r="L33" s="355">
        <f t="shared" si="11"/>
        <v>6.5610025801695537E-3</v>
      </c>
      <c r="M33" s="356">
        <f t="shared" si="12"/>
        <v>6.4972401103955838E-3</v>
      </c>
      <c r="N33" s="356">
        <f t="shared" si="13"/>
        <v>3.5718684567064909E-3</v>
      </c>
      <c r="O33" s="357">
        <f t="shared" si="14"/>
        <v>3.4915773353751912E-3</v>
      </c>
    </row>
    <row r="34" spans="1:16" ht="15" customHeight="1">
      <c r="A34" s="345"/>
      <c r="B34" s="265" t="s">
        <v>101</v>
      </c>
      <c r="C34" s="265" t="s">
        <v>101</v>
      </c>
      <c r="D34" s="350">
        <v>167</v>
      </c>
      <c r="E34" s="346">
        <v>340</v>
      </c>
      <c r="F34" s="346">
        <v>335</v>
      </c>
      <c r="G34" s="351">
        <v>328</v>
      </c>
      <c r="H34" s="355">
        <f t="shared" si="7"/>
        <v>7.1260934499679969E-3</v>
      </c>
      <c r="I34" s="356">
        <f t="shared" si="8"/>
        <v>1.3180849001744524E-2</v>
      </c>
      <c r="J34" s="356">
        <f t="shared" si="9"/>
        <v>1.4206955046649703E-2</v>
      </c>
      <c r="K34" s="357">
        <f t="shared" si="10"/>
        <v>1.4156236512731981E-2</v>
      </c>
      <c r="L34" s="355">
        <f t="shared" si="11"/>
        <v>1.2311094729082197E-2</v>
      </c>
      <c r="M34" s="356">
        <f t="shared" si="12"/>
        <v>1.9549218031278751E-2</v>
      </c>
      <c r="N34" s="356">
        <f t="shared" si="13"/>
        <v>2.0630619534425423E-2</v>
      </c>
      <c r="O34" s="357">
        <f t="shared" si="14"/>
        <v>2.0091883614088819E-2</v>
      </c>
    </row>
    <row r="35" spans="1:16" ht="15" customHeight="1">
      <c r="A35" s="345"/>
      <c r="B35" s="265" t="s">
        <v>102</v>
      </c>
      <c r="C35" s="265" t="s">
        <v>102</v>
      </c>
      <c r="D35" s="350">
        <v>345</v>
      </c>
      <c r="E35" s="346">
        <v>365</v>
      </c>
      <c r="F35" s="346">
        <v>350</v>
      </c>
      <c r="G35" s="351">
        <v>292</v>
      </c>
      <c r="H35" s="355">
        <f t="shared" si="7"/>
        <v>1.4721570300832088E-2</v>
      </c>
      <c r="I35" s="356">
        <f t="shared" si="8"/>
        <v>1.415002907540221E-2</v>
      </c>
      <c r="J35" s="356">
        <f t="shared" si="9"/>
        <v>1.4843087362171332E-2</v>
      </c>
      <c r="K35" s="357">
        <f t="shared" si="10"/>
        <v>1.2602503236944325E-2</v>
      </c>
      <c r="L35" s="355">
        <f t="shared" si="11"/>
        <v>2.5433099889421305E-2</v>
      </c>
      <c r="M35" s="356">
        <f t="shared" si="12"/>
        <v>2.0986660533578658E-2</v>
      </c>
      <c r="N35" s="356">
        <f t="shared" si="13"/>
        <v>2.1554378618056411E-2</v>
      </c>
      <c r="O35" s="357">
        <f t="shared" si="14"/>
        <v>1.788667687595712E-2</v>
      </c>
    </row>
    <row r="36" spans="1:16" ht="15.95">
      <c r="A36" s="345"/>
      <c r="B36" s="266" t="s">
        <v>103</v>
      </c>
      <c r="C36" s="314"/>
      <c r="D36" s="230">
        <v>13565</v>
      </c>
      <c r="E36" s="197">
        <v>17392</v>
      </c>
      <c r="F36" s="197">
        <v>16238</v>
      </c>
      <c r="G36" s="231">
        <v>16325</v>
      </c>
      <c r="H36" s="244">
        <f t="shared" si="7"/>
        <v>0.57883507574141246</v>
      </c>
      <c r="I36" s="216">
        <f t="shared" si="8"/>
        <v>0.67423919364217877</v>
      </c>
      <c r="J36" s="216">
        <f t="shared" si="9"/>
        <v>0.68863443596268026</v>
      </c>
      <c r="K36" s="245">
        <f t="shared" si="10"/>
        <v>0.70457488131204138</v>
      </c>
      <c r="L36" s="244">
        <f t="shared" si="11"/>
        <v>1</v>
      </c>
      <c r="M36" s="216">
        <f t="shared" si="12"/>
        <v>1</v>
      </c>
      <c r="N36" s="216">
        <f t="shared" si="13"/>
        <v>1</v>
      </c>
      <c r="O36" s="245">
        <f t="shared" si="14"/>
        <v>1</v>
      </c>
    </row>
    <row r="37" spans="1:16" ht="15.95">
      <c r="A37" s="345"/>
      <c r="B37" s="264" t="s">
        <v>15</v>
      </c>
      <c r="C37" s="308"/>
      <c r="D37" s="229"/>
      <c r="E37" s="348"/>
      <c r="F37" s="348" t="s">
        <v>104</v>
      </c>
      <c r="G37" s="349" t="s">
        <v>104</v>
      </c>
      <c r="H37" s="367"/>
      <c r="I37" s="368"/>
      <c r="J37" s="368"/>
      <c r="K37" s="369"/>
      <c r="L37" s="367"/>
      <c r="M37" s="368"/>
      <c r="N37" s="368"/>
      <c r="O37" s="369"/>
    </row>
    <row r="38" spans="1:16" ht="15" customHeight="1">
      <c r="A38" s="345"/>
      <c r="B38" s="265" t="s">
        <v>106</v>
      </c>
      <c r="C38" s="265" t="s">
        <v>106</v>
      </c>
      <c r="D38" s="350">
        <v>3026</v>
      </c>
      <c r="E38" s="346">
        <v>4945</v>
      </c>
      <c r="F38" s="346">
        <v>3817</v>
      </c>
      <c r="G38" s="351">
        <v>3114</v>
      </c>
      <c r="H38" s="355">
        <f t="shared" ref="H38:H47" si="15">D38/D$47</f>
        <v>0.12912310646468958</v>
      </c>
      <c r="I38" s="356">
        <f t="shared" ref="I38:I47" si="16">E38/E$47</f>
        <v>0.1917038185694902</v>
      </c>
      <c r="J38" s="356">
        <f t="shared" ref="J38:J47" si="17">F38/F$47</f>
        <v>0.16187446988973705</v>
      </c>
      <c r="K38" s="357">
        <f t="shared" ref="K38:K47" si="18">G38/G$47</f>
        <v>0.13439792835563227</v>
      </c>
      <c r="L38" s="371">
        <f>D38/D$46</f>
        <v>0.30658561296859171</v>
      </c>
      <c r="M38" s="372">
        <f t="shared" ref="M38:O38" si="19">E38/E$46</f>
        <v>0.58848030465310008</v>
      </c>
      <c r="N38" s="356">
        <f t="shared" si="19"/>
        <v>0.51988558975755927</v>
      </c>
      <c r="O38" s="357">
        <f t="shared" si="19"/>
        <v>0.45493060628195764</v>
      </c>
    </row>
    <row r="39" spans="1:16" ht="15" customHeight="1">
      <c r="A39" s="345"/>
      <c r="B39" s="265" t="s">
        <v>107</v>
      </c>
      <c r="C39" s="265" t="s">
        <v>160</v>
      </c>
      <c r="D39" s="350">
        <v>468</v>
      </c>
      <c r="E39" s="346">
        <v>846</v>
      </c>
      <c r="F39" s="346">
        <v>764</v>
      </c>
      <c r="G39" s="351">
        <v>1374</v>
      </c>
      <c r="H39" s="355">
        <f t="shared" si="15"/>
        <v>1.9970130147215704E-2</v>
      </c>
      <c r="I39" s="356">
        <f t="shared" si="16"/>
        <v>3.2797053692576079E-2</v>
      </c>
      <c r="J39" s="356">
        <f t="shared" si="17"/>
        <v>3.2400339270568276E-2</v>
      </c>
      <c r="K39" s="357">
        <f t="shared" si="18"/>
        <v>5.9300820025895554E-2</v>
      </c>
      <c r="L39" s="371">
        <f t="shared" ref="L39:L46" si="20">D39/D$46</f>
        <v>4.7416413373860183E-2</v>
      </c>
      <c r="M39" s="372">
        <f t="shared" ref="M39:M46" si="21">E39/E$46</f>
        <v>0.10067832916815424</v>
      </c>
      <c r="N39" s="372">
        <f t="shared" ref="N39:N46" si="22">F39/F$46</f>
        <v>0.10405883955325525</v>
      </c>
      <c r="O39" s="373">
        <f t="shared" ref="O39:O46" si="23">G39/G$46</f>
        <v>0.20073046018991966</v>
      </c>
      <c r="P39" t="s">
        <v>161</v>
      </c>
    </row>
    <row r="40" spans="1:16" ht="15" customHeight="1">
      <c r="A40" s="345"/>
      <c r="B40" s="265" t="s">
        <v>108</v>
      </c>
      <c r="C40" s="265" t="s">
        <v>162</v>
      </c>
      <c r="D40" s="350">
        <v>111</v>
      </c>
      <c r="E40" s="346">
        <v>192</v>
      </c>
      <c r="F40" s="346">
        <v>173</v>
      </c>
      <c r="G40" s="351">
        <v>135</v>
      </c>
      <c r="H40" s="355">
        <f t="shared" si="15"/>
        <v>4.7365052272242371E-3</v>
      </c>
      <c r="I40" s="356">
        <f t="shared" si="16"/>
        <v>7.4433029656910251E-3</v>
      </c>
      <c r="J40" s="356">
        <f t="shared" si="17"/>
        <v>7.336726039016115E-3</v>
      </c>
      <c r="K40" s="357">
        <f t="shared" si="18"/>
        <v>5.8264997842037121E-3</v>
      </c>
      <c r="L40" s="355">
        <f t="shared" si="20"/>
        <v>1.1246200607902736E-2</v>
      </c>
      <c r="M40" s="356">
        <f t="shared" si="21"/>
        <v>2.284898250624777E-2</v>
      </c>
      <c r="N40" s="356">
        <f t="shared" si="22"/>
        <v>2.3563061836011985E-2</v>
      </c>
      <c r="O40" s="357">
        <f t="shared" si="23"/>
        <v>1.9722425127830533E-2</v>
      </c>
    </row>
    <row r="41" spans="1:16" ht="15" customHeight="1">
      <c r="A41" s="345"/>
      <c r="B41" s="265" t="s">
        <v>100</v>
      </c>
      <c r="C41" s="265" t="s">
        <v>163</v>
      </c>
      <c r="D41" s="350">
        <v>43</v>
      </c>
      <c r="E41" s="346">
        <v>40</v>
      </c>
      <c r="F41" s="346">
        <v>3</v>
      </c>
      <c r="G41" s="351">
        <v>69</v>
      </c>
      <c r="H41" s="355">
        <f t="shared" si="15"/>
        <v>1.834862385321101E-3</v>
      </c>
      <c r="I41" s="356">
        <f t="shared" si="16"/>
        <v>1.5506881178522969E-3</v>
      </c>
      <c r="J41" s="356">
        <f t="shared" si="17"/>
        <v>1.272264631043257E-4</v>
      </c>
      <c r="K41" s="357">
        <f t="shared" si="18"/>
        <v>2.9779887785930082E-3</v>
      </c>
      <c r="L41" s="355">
        <f t="shared" si="20"/>
        <v>4.3566362715298885E-3</v>
      </c>
      <c r="M41" s="356">
        <f t="shared" si="21"/>
        <v>4.7602046888016187E-3</v>
      </c>
      <c r="N41" s="356">
        <f t="shared" si="22"/>
        <v>4.0860800871697086E-4</v>
      </c>
      <c r="O41" s="357">
        <f t="shared" si="23"/>
        <v>1.0080350620891161E-2</v>
      </c>
    </row>
    <row r="42" spans="1:16" ht="15" customHeight="1">
      <c r="A42" s="345"/>
      <c r="B42" s="265" t="s">
        <v>109</v>
      </c>
      <c r="C42" s="265" t="s">
        <v>164</v>
      </c>
      <c r="D42" s="350">
        <v>203</v>
      </c>
      <c r="E42" s="346">
        <v>17</v>
      </c>
      <c r="F42" s="346">
        <v>101</v>
      </c>
      <c r="G42" s="351">
        <v>38</v>
      </c>
      <c r="H42" s="355">
        <f t="shared" si="15"/>
        <v>8.6622573074461272E-3</v>
      </c>
      <c r="I42" s="356">
        <f t="shared" si="16"/>
        <v>6.5904245008722615E-4</v>
      </c>
      <c r="J42" s="356">
        <f t="shared" si="17"/>
        <v>4.2832909245122987E-3</v>
      </c>
      <c r="K42" s="357">
        <f t="shared" si="18"/>
        <v>1.6400517911091929E-3</v>
      </c>
      <c r="L42" s="355">
        <f t="shared" si="20"/>
        <v>2.0567375886524821E-2</v>
      </c>
      <c r="M42" s="356">
        <f t="shared" si="21"/>
        <v>2.0230869927406877E-3</v>
      </c>
      <c r="N42" s="356">
        <f t="shared" si="22"/>
        <v>1.3756469626804685E-2</v>
      </c>
      <c r="O42" s="357">
        <f t="shared" si="23"/>
        <v>5.5514974433893355E-3</v>
      </c>
    </row>
    <row r="43" spans="1:16" ht="15" customHeight="1">
      <c r="A43" s="345"/>
      <c r="B43" s="265" t="s">
        <v>110</v>
      </c>
      <c r="C43" s="265" t="s">
        <v>165</v>
      </c>
      <c r="D43" s="350">
        <v>412</v>
      </c>
      <c r="E43" s="346">
        <v>477</v>
      </c>
      <c r="F43" s="346">
        <v>344</v>
      </c>
      <c r="G43" s="351">
        <v>292</v>
      </c>
      <c r="H43" s="355">
        <f t="shared" si="15"/>
        <v>1.7580541924471945E-2</v>
      </c>
      <c r="I43" s="356">
        <f t="shared" si="16"/>
        <v>1.8491955805388642E-2</v>
      </c>
      <c r="J43" s="356">
        <f t="shared" si="17"/>
        <v>1.4588634435962681E-2</v>
      </c>
      <c r="K43" s="357">
        <f t="shared" si="18"/>
        <v>1.2602503236944325E-2</v>
      </c>
      <c r="L43" s="355">
        <f t="shared" si="20"/>
        <v>4.1742654508611955E-2</v>
      </c>
      <c r="M43" s="356">
        <f t="shared" si="21"/>
        <v>5.6765440913959297E-2</v>
      </c>
      <c r="N43" s="356">
        <f t="shared" si="22"/>
        <v>4.6853718332879324E-2</v>
      </c>
      <c r="O43" s="357">
        <f t="shared" si="23"/>
        <v>4.2658875091307523E-2</v>
      </c>
    </row>
    <row r="44" spans="1:16" ht="15" customHeight="1">
      <c r="A44" s="345"/>
      <c r="B44" s="265" t="s">
        <v>111</v>
      </c>
      <c r="C44" s="265" t="s">
        <v>166</v>
      </c>
      <c r="D44" s="350">
        <v>5547</v>
      </c>
      <c r="E44" s="346">
        <v>1882</v>
      </c>
      <c r="F44" s="346">
        <v>2139</v>
      </c>
      <c r="G44" s="351">
        <v>1822</v>
      </c>
      <c r="H44" s="355">
        <f t="shared" si="15"/>
        <v>0.23669724770642203</v>
      </c>
      <c r="I44" s="356">
        <f t="shared" si="16"/>
        <v>7.295987594495057E-2</v>
      </c>
      <c r="J44" s="356">
        <f t="shared" si="17"/>
        <v>9.071246819338423E-2</v>
      </c>
      <c r="K44" s="357">
        <f t="shared" si="18"/>
        <v>7.8636167457919723E-2</v>
      </c>
      <c r="L44" s="371">
        <f t="shared" si="20"/>
        <v>0.56200607902735567</v>
      </c>
      <c r="M44" s="372">
        <f t="shared" si="21"/>
        <v>0.22396763060811614</v>
      </c>
      <c r="N44" s="356">
        <f t="shared" si="22"/>
        <v>0.29133751021520021</v>
      </c>
      <c r="O44" s="357">
        <f t="shared" si="23"/>
        <v>0.26617969320672025</v>
      </c>
      <c r="P44" t="s">
        <v>167</v>
      </c>
    </row>
    <row r="45" spans="1:16" ht="15" customHeight="1">
      <c r="A45" s="345"/>
      <c r="B45" s="265" t="s">
        <v>112</v>
      </c>
      <c r="C45" s="265" t="s">
        <v>168</v>
      </c>
      <c r="D45" s="350">
        <v>60</v>
      </c>
      <c r="E45" s="346">
        <v>4</v>
      </c>
      <c r="F45" s="346">
        <v>1</v>
      </c>
      <c r="G45" s="351">
        <v>1</v>
      </c>
      <c r="H45" s="355">
        <f t="shared" si="15"/>
        <v>2.5602730957968848E-3</v>
      </c>
      <c r="I45" s="356">
        <f t="shared" si="16"/>
        <v>1.5506881178522971E-4</v>
      </c>
      <c r="J45" s="356">
        <f t="shared" si="17"/>
        <v>4.2408821034775233E-5</v>
      </c>
      <c r="K45" s="357">
        <f t="shared" si="18"/>
        <v>4.3159257660768235E-5</v>
      </c>
      <c r="L45" s="355">
        <f t="shared" si="20"/>
        <v>6.0790273556231003E-3</v>
      </c>
      <c r="M45" s="356">
        <f t="shared" si="21"/>
        <v>4.7602046888016187E-4</v>
      </c>
      <c r="N45" s="356">
        <f t="shared" si="22"/>
        <v>1.3620266957232362E-4</v>
      </c>
      <c r="O45" s="357">
        <f t="shared" si="23"/>
        <v>1.4609203798392987E-4</v>
      </c>
    </row>
    <row r="46" spans="1:16" ht="15.95">
      <c r="A46" s="345"/>
      <c r="B46" s="266" t="s">
        <v>113</v>
      </c>
      <c r="C46" s="314"/>
      <c r="D46" s="230">
        <v>9870</v>
      </c>
      <c r="E46" s="197">
        <v>8403</v>
      </c>
      <c r="F46" s="197">
        <v>7342</v>
      </c>
      <c r="G46" s="231">
        <v>6845</v>
      </c>
      <c r="H46" s="244">
        <f t="shared" si="15"/>
        <v>0.42116492425858759</v>
      </c>
      <c r="I46" s="216">
        <f t="shared" si="16"/>
        <v>0.32576080635782129</v>
      </c>
      <c r="J46" s="216">
        <f t="shared" si="17"/>
        <v>0.31136556403731974</v>
      </c>
      <c r="K46" s="245">
        <f t="shared" si="18"/>
        <v>0.29542511868795857</v>
      </c>
      <c r="L46" s="244">
        <f t="shared" si="20"/>
        <v>1</v>
      </c>
      <c r="M46" s="216">
        <f t="shared" si="21"/>
        <v>1</v>
      </c>
      <c r="N46" s="216">
        <f t="shared" si="22"/>
        <v>1</v>
      </c>
      <c r="O46" s="245">
        <f t="shared" si="23"/>
        <v>1</v>
      </c>
    </row>
    <row r="47" spans="1:16" ht="15.95">
      <c r="A47" s="345"/>
      <c r="B47" s="267" t="s">
        <v>114</v>
      </c>
      <c r="C47" s="315"/>
      <c r="D47" s="232">
        <v>23435</v>
      </c>
      <c r="E47" s="199">
        <v>25795</v>
      </c>
      <c r="F47" s="199">
        <v>23580</v>
      </c>
      <c r="G47" s="233">
        <v>23170</v>
      </c>
      <c r="H47" s="246">
        <f t="shared" si="15"/>
        <v>1</v>
      </c>
      <c r="I47" s="218">
        <f t="shared" si="16"/>
        <v>1</v>
      </c>
      <c r="J47" s="218">
        <f t="shared" si="17"/>
        <v>1</v>
      </c>
      <c r="K47" s="247">
        <f t="shared" si="18"/>
        <v>1</v>
      </c>
      <c r="L47" s="246"/>
      <c r="M47" s="218"/>
      <c r="N47" s="218"/>
      <c r="O47" s="247"/>
    </row>
    <row r="48" spans="1:16">
      <c r="A48" s="370"/>
      <c r="B48" s="268"/>
      <c r="C48" s="316"/>
      <c r="D48" s="234"/>
      <c r="E48" s="205"/>
      <c r="F48" s="205"/>
      <c r="G48" s="235"/>
      <c r="H48" s="248"/>
      <c r="I48" s="215"/>
      <c r="J48" s="215"/>
      <c r="K48" s="249"/>
      <c r="L48" s="248"/>
      <c r="M48" s="215"/>
      <c r="N48" s="215"/>
      <c r="O48" s="249"/>
    </row>
    <row r="49" spans="1:15" ht="15.95">
      <c r="A49" s="345"/>
      <c r="B49" s="264" t="s">
        <v>115</v>
      </c>
      <c r="C49" s="308"/>
      <c r="D49" s="229"/>
      <c r="E49" s="200"/>
      <c r="F49" s="200"/>
      <c r="G49" s="349"/>
      <c r="H49" s="377"/>
      <c r="I49" s="378"/>
      <c r="J49" s="378"/>
      <c r="K49" s="379"/>
      <c r="L49" s="377"/>
      <c r="M49" s="378"/>
      <c r="N49" s="378"/>
      <c r="O49" s="379"/>
    </row>
    <row r="50" spans="1:15" ht="15.95">
      <c r="A50" s="345"/>
      <c r="B50" s="264" t="s">
        <v>116</v>
      </c>
      <c r="C50" s="308"/>
      <c r="D50" s="229"/>
      <c r="E50" s="200"/>
      <c r="F50" s="200"/>
      <c r="G50" s="236"/>
      <c r="H50" s="250"/>
      <c r="I50" s="213"/>
      <c r="J50" s="213"/>
      <c r="K50" s="251"/>
      <c r="L50" s="250"/>
      <c r="M50" s="213"/>
      <c r="N50" s="213"/>
      <c r="O50" s="251"/>
    </row>
    <row r="51" spans="1:15" ht="15.95">
      <c r="A51" s="345"/>
      <c r="B51" s="265" t="s">
        <v>117</v>
      </c>
      <c r="C51" s="309"/>
      <c r="D51" s="350">
        <v>6</v>
      </c>
      <c r="E51" s="346">
        <v>6</v>
      </c>
      <c r="F51" s="346">
        <v>6</v>
      </c>
      <c r="G51" s="351">
        <v>6</v>
      </c>
      <c r="H51" s="380">
        <f>D51/D$81</f>
        <v>2.5602730957968852E-4</v>
      </c>
      <c r="I51" s="381">
        <f t="shared" ref="I51:K51" si="24">E51/E$81</f>
        <v>2.3260321767784454E-4</v>
      </c>
      <c r="J51" s="381">
        <f t="shared" si="24"/>
        <v>2.544529262086514E-4</v>
      </c>
      <c r="K51" s="382">
        <f t="shared" si="24"/>
        <v>2.5895554596460941E-4</v>
      </c>
      <c r="L51" s="380">
        <f>D51/D$56</f>
        <v>1.2531328320802004E-3</v>
      </c>
      <c r="M51" s="381">
        <f t="shared" ref="M51:O51" si="25">E51/E$56</f>
        <v>7.0036185362437262E-4</v>
      </c>
      <c r="N51" s="381">
        <f t="shared" si="25"/>
        <v>7.899934167215273E-4</v>
      </c>
      <c r="O51" s="382">
        <f t="shared" si="25"/>
        <v>7.4101519081141163E-4</v>
      </c>
    </row>
    <row r="52" spans="1:15" ht="15.95">
      <c r="A52" s="345"/>
      <c r="B52" s="265" t="s">
        <v>118</v>
      </c>
      <c r="C52" s="309"/>
      <c r="D52" s="350">
        <v>1218</v>
      </c>
      <c r="E52" s="346">
        <v>1212</v>
      </c>
      <c r="F52" s="346">
        <v>1212</v>
      </c>
      <c r="G52" s="351">
        <v>1212</v>
      </c>
      <c r="H52" s="355">
        <f t="shared" ref="H52:H81" si="26">D52/D$81</f>
        <v>5.1973543844676763E-2</v>
      </c>
      <c r="I52" s="356">
        <f t="shared" ref="I52:I81" si="27">E52/E$81</f>
        <v>4.6985849970924601E-2</v>
      </c>
      <c r="J52" s="356">
        <f t="shared" ref="J52:J81" si="28">F52/F$81</f>
        <v>5.1399491094147584E-2</v>
      </c>
      <c r="K52" s="357">
        <f t="shared" ref="K52:K81" si="29">G52/G$81</f>
        <v>5.2309020284851099E-2</v>
      </c>
      <c r="L52" s="355">
        <f t="shared" ref="L52:L56" si="30">D52/D$56</f>
        <v>0.25438596491228072</v>
      </c>
      <c r="M52" s="356">
        <f t="shared" ref="M52:M56" si="31">E52/E$56</f>
        <v>0.14147309443212328</v>
      </c>
      <c r="N52" s="356">
        <f t="shared" ref="N52:N56" si="32">F52/F$56</f>
        <v>0.15957867017774852</v>
      </c>
      <c r="O52" s="357">
        <f t="shared" ref="O52:O56" si="33">G52/G$56</f>
        <v>0.14968506854390515</v>
      </c>
    </row>
    <row r="53" spans="1:15" ht="15.95">
      <c r="A53" s="345"/>
      <c r="B53" s="269" t="s">
        <v>119</v>
      </c>
      <c r="C53" s="317"/>
      <c r="D53" s="229">
        <v>-305</v>
      </c>
      <c r="E53" s="200"/>
      <c r="F53" s="200"/>
      <c r="G53" s="236"/>
      <c r="H53" s="252">
        <f t="shared" si="26"/>
        <v>-1.3014721570300833E-2</v>
      </c>
      <c r="I53" s="219">
        <f t="shared" si="27"/>
        <v>0</v>
      </c>
      <c r="J53" s="219">
        <f t="shared" si="28"/>
        <v>0</v>
      </c>
      <c r="K53" s="253">
        <f t="shared" si="29"/>
        <v>0</v>
      </c>
      <c r="L53" s="252">
        <f t="shared" si="30"/>
        <v>-6.3700918964076855E-2</v>
      </c>
      <c r="M53" s="219">
        <f t="shared" si="31"/>
        <v>0</v>
      </c>
      <c r="N53" s="219">
        <f t="shared" si="32"/>
        <v>0</v>
      </c>
      <c r="O53" s="253">
        <f t="shared" si="33"/>
        <v>0</v>
      </c>
    </row>
    <row r="54" spans="1:15" ht="15.95">
      <c r="A54" s="345"/>
      <c r="B54" s="265" t="s">
        <v>120</v>
      </c>
      <c r="C54" s="309"/>
      <c r="D54" s="350">
        <v>-5415</v>
      </c>
      <c r="E54" s="346">
        <v>-4541</v>
      </c>
      <c r="F54" s="346">
        <v>-6146</v>
      </c>
      <c r="G54" s="351">
        <v>-6979</v>
      </c>
      <c r="H54" s="355">
        <f t="shared" si="26"/>
        <v>-0.23106464689566888</v>
      </c>
      <c r="I54" s="356">
        <f t="shared" si="27"/>
        <v>-0.176041868579182</v>
      </c>
      <c r="J54" s="356">
        <f t="shared" si="28"/>
        <v>-0.26064461407972861</v>
      </c>
      <c r="K54" s="357">
        <f t="shared" si="29"/>
        <v>-0.30120845921450151</v>
      </c>
      <c r="L54" s="355">
        <f t="shared" si="30"/>
        <v>-1.1309523809523809</v>
      </c>
      <c r="M54" s="356">
        <f t="shared" si="31"/>
        <v>-0.53005719621804603</v>
      </c>
      <c r="N54" s="356">
        <f t="shared" si="32"/>
        <v>-0.80921658986175116</v>
      </c>
      <c r="O54" s="357">
        <f t="shared" si="33"/>
        <v>-0.86192416944547368</v>
      </c>
    </row>
    <row r="55" spans="1:15" ht="15.95">
      <c r="A55" s="345"/>
      <c r="B55" s="265" t="s">
        <v>121</v>
      </c>
      <c r="C55" s="309"/>
      <c r="D55" s="350">
        <v>8184</v>
      </c>
      <c r="E55" s="346">
        <v>10448</v>
      </c>
      <c r="F55" s="346">
        <v>11324</v>
      </c>
      <c r="G55" s="351">
        <v>12638</v>
      </c>
      <c r="H55" s="355">
        <f t="shared" si="26"/>
        <v>0.34922125026669509</v>
      </c>
      <c r="I55" s="356">
        <f t="shared" si="27"/>
        <v>0.40503973638301999</v>
      </c>
      <c r="J55" s="356">
        <f t="shared" si="28"/>
        <v>0.48023748939779476</v>
      </c>
      <c r="K55" s="357">
        <f t="shared" si="29"/>
        <v>0.54544669831678894</v>
      </c>
      <c r="L55" s="355">
        <f t="shared" si="30"/>
        <v>1.7092731829573935</v>
      </c>
      <c r="M55" s="356">
        <f t="shared" si="31"/>
        <v>1.2195634411112408</v>
      </c>
      <c r="N55" s="356">
        <f t="shared" si="32"/>
        <v>1.4909809084924293</v>
      </c>
      <c r="O55" s="357">
        <f t="shared" si="33"/>
        <v>1.5608249969124368</v>
      </c>
    </row>
    <row r="56" spans="1:15">
      <c r="A56" s="345"/>
      <c r="B56" s="270" t="s">
        <v>122</v>
      </c>
      <c r="C56" s="318"/>
      <c r="D56" s="230">
        <v>4788</v>
      </c>
      <c r="E56" s="197">
        <v>8567</v>
      </c>
      <c r="F56" s="197">
        <v>7595</v>
      </c>
      <c r="G56" s="231">
        <v>8097</v>
      </c>
      <c r="H56" s="244">
        <f t="shared" si="26"/>
        <v>0.20430979304459143</v>
      </c>
      <c r="I56" s="216">
        <f t="shared" si="27"/>
        <v>0.33211862764101568</v>
      </c>
      <c r="J56" s="216">
        <f t="shared" si="28"/>
        <v>0.32209499575911787</v>
      </c>
      <c r="K56" s="245">
        <f t="shared" si="29"/>
        <v>0.34946050927924038</v>
      </c>
      <c r="L56" s="244">
        <f t="shared" si="30"/>
        <v>1</v>
      </c>
      <c r="M56" s="216">
        <f t="shared" si="31"/>
        <v>1</v>
      </c>
      <c r="N56" s="216">
        <f t="shared" si="32"/>
        <v>1</v>
      </c>
      <c r="O56" s="245">
        <f t="shared" si="33"/>
        <v>1</v>
      </c>
    </row>
    <row r="57" spans="1:15" ht="15.95">
      <c r="A57" s="345"/>
      <c r="B57" s="264" t="s">
        <v>56</v>
      </c>
      <c r="C57" s="308"/>
      <c r="D57" s="229"/>
      <c r="E57" s="200"/>
      <c r="F57" s="200"/>
      <c r="G57" s="236"/>
      <c r="H57" s="250"/>
      <c r="I57" s="213"/>
      <c r="J57" s="213"/>
      <c r="K57" s="251"/>
      <c r="L57" s="250"/>
      <c r="M57" s="213"/>
      <c r="N57" s="213"/>
      <c r="O57" s="251"/>
    </row>
    <row r="58" spans="1:15" ht="15" customHeight="1">
      <c r="A58" s="345"/>
      <c r="B58" s="265" t="s">
        <v>124</v>
      </c>
      <c r="C58" s="265" t="s">
        <v>124</v>
      </c>
      <c r="D58" s="350">
        <v>8616</v>
      </c>
      <c r="E58" s="346">
        <v>7189</v>
      </c>
      <c r="F58" s="346">
        <v>5377</v>
      </c>
      <c r="G58" s="351">
        <v>7112</v>
      </c>
      <c r="H58" s="355">
        <f t="shared" si="26"/>
        <v>0.36765521655643268</v>
      </c>
      <c r="I58" s="356">
        <f t="shared" si="27"/>
        <v>0.27869742198100406</v>
      </c>
      <c r="J58" s="356">
        <f t="shared" si="28"/>
        <v>0.22803223070398643</v>
      </c>
      <c r="K58" s="357">
        <f t="shared" si="29"/>
        <v>0.30694864048338366</v>
      </c>
      <c r="L58" s="355">
        <f>D58/D$66</f>
        <v>0.8156001514577812</v>
      </c>
      <c r="M58" s="356">
        <f t="shared" ref="M58:O58" si="34">E58/E$66</f>
        <v>0.7536429395114792</v>
      </c>
      <c r="N58" s="356">
        <f t="shared" si="34"/>
        <v>0.75160749231199331</v>
      </c>
      <c r="O58" s="357">
        <f t="shared" si="34"/>
        <v>0.77692811885514534</v>
      </c>
    </row>
    <row r="59" spans="1:15" ht="15" customHeight="1">
      <c r="A59" s="345"/>
      <c r="B59" s="265" t="s">
        <v>125</v>
      </c>
      <c r="C59" s="265" t="s">
        <v>125</v>
      </c>
      <c r="D59" s="350">
        <v>178</v>
      </c>
      <c r="E59" s="346">
        <v>190</v>
      </c>
      <c r="F59" s="346">
        <v>466</v>
      </c>
      <c r="G59" s="351">
        <v>381</v>
      </c>
      <c r="H59" s="355">
        <f t="shared" si="26"/>
        <v>7.5954768508640922E-3</v>
      </c>
      <c r="I59" s="356">
        <f t="shared" si="27"/>
        <v>7.3657685597984107E-3</v>
      </c>
      <c r="J59" s="356">
        <f t="shared" si="28"/>
        <v>1.9762510602205258E-2</v>
      </c>
      <c r="K59" s="357">
        <f t="shared" si="29"/>
        <v>1.6443677168752696E-2</v>
      </c>
      <c r="L59" s="355">
        <f t="shared" ref="L59:L66" si="35">D59/D$66</f>
        <v>1.684967815221507E-2</v>
      </c>
      <c r="M59" s="356">
        <f t="shared" ref="M59:M66" si="36">E59/E$66</f>
        <v>1.991823042247615E-2</v>
      </c>
      <c r="N59" s="356">
        <f t="shared" ref="N59:N66" si="37">F59/F$66</f>
        <v>6.5138384120771595E-2</v>
      </c>
      <c r="O59" s="357">
        <f t="shared" ref="O59:O66" si="38">G59/G$66</f>
        <v>4.1621149224382786E-2</v>
      </c>
    </row>
    <row r="60" spans="1:15" ht="15" customHeight="1">
      <c r="A60" s="345"/>
      <c r="B60" s="265" t="s">
        <v>126</v>
      </c>
      <c r="C60" s="265" t="s">
        <v>126</v>
      </c>
      <c r="D60" s="350">
        <v>894</v>
      </c>
      <c r="E60" s="346">
        <v>916</v>
      </c>
      <c r="F60" s="346">
        <v>689</v>
      </c>
      <c r="G60" s="351">
        <v>881</v>
      </c>
      <c r="H60" s="355">
        <f t="shared" si="26"/>
        <v>3.8148069127373584E-2</v>
      </c>
      <c r="I60" s="356">
        <f t="shared" si="27"/>
        <v>3.5510757898817601E-2</v>
      </c>
      <c r="J60" s="356">
        <f t="shared" si="28"/>
        <v>2.9219677692960137E-2</v>
      </c>
      <c r="K60" s="357">
        <f t="shared" si="29"/>
        <v>3.8023305999136815E-2</v>
      </c>
      <c r="L60" s="355">
        <f t="shared" si="35"/>
        <v>8.462703521393411E-2</v>
      </c>
      <c r="M60" s="356">
        <f t="shared" si="36"/>
        <v>9.6026837194674489E-2</v>
      </c>
      <c r="N60" s="356">
        <f t="shared" si="37"/>
        <v>9.6309756779424105E-2</v>
      </c>
      <c r="O60" s="357">
        <f t="shared" si="38"/>
        <v>9.624207996504261E-2</v>
      </c>
    </row>
    <row r="61" spans="1:15" ht="15" customHeight="1">
      <c r="A61" s="345"/>
      <c r="B61" s="265" t="s">
        <v>127</v>
      </c>
      <c r="C61" s="265" t="s">
        <v>127</v>
      </c>
      <c r="D61" s="350">
        <v>633</v>
      </c>
      <c r="E61" s="346">
        <v>613</v>
      </c>
      <c r="F61" s="346">
        <v>399</v>
      </c>
      <c r="G61" s="351">
        <v>299</v>
      </c>
      <c r="H61" s="355">
        <f t="shared" si="26"/>
        <v>2.7010881160657137E-2</v>
      </c>
      <c r="I61" s="356">
        <f t="shared" si="27"/>
        <v>2.376429540608645E-2</v>
      </c>
      <c r="J61" s="356">
        <f t="shared" si="28"/>
        <v>1.6921119592875317E-2</v>
      </c>
      <c r="K61" s="357">
        <f t="shared" si="29"/>
        <v>1.2904618040569702E-2</v>
      </c>
      <c r="L61" s="355">
        <f t="shared" si="35"/>
        <v>5.9920484664899659E-2</v>
      </c>
      <c r="M61" s="356">
        <f t="shared" si="36"/>
        <v>6.4262501310409892E-2</v>
      </c>
      <c r="N61" s="356">
        <f t="shared" si="37"/>
        <v>5.577299412915851E-2</v>
      </c>
      <c r="O61" s="357">
        <f t="shared" si="38"/>
        <v>3.2663316582914576E-2</v>
      </c>
    </row>
    <row r="62" spans="1:15" ht="15" customHeight="1">
      <c r="A62" s="345"/>
      <c r="B62" s="265" t="s">
        <v>128</v>
      </c>
      <c r="C62" s="265" t="s">
        <v>169</v>
      </c>
      <c r="D62" s="350">
        <v>55</v>
      </c>
      <c r="E62" s="346">
        <v>56</v>
      </c>
      <c r="F62" s="346">
        <v>51</v>
      </c>
      <c r="G62" s="351">
        <v>41</v>
      </c>
      <c r="H62" s="380">
        <f t="shared" si="26"/>
        <v>2.3469170044804781E-3</v>
      </c>
      <c r="I62" s="381">
        <f t="shared" si="27"/>
        <v>2.1709633649932159E-3</v>
      </c>
      <c r="J62" s="381">
        <f t="shared" si="28"/>
        <v>2.1628498727735367E-3</v>
      </c>
      <c r="K62" s="382">
        <f t="shared" si="29"/>
        <v>1.7695295640914976E-3</v>
      </c>
      <c r="L62" s="380">
        <f t="shared" si="35"/>
        <v>5.2063612268080268E-3</v>
      </c>
      <c r="M62" s="381">
        <f t="shared" si="36"/>
        <v>5.8706363350456026E-3</v>
      </c>
      <c r="N62" s="381">
        <f t="shared" si="37"/>
        <v>7.1288789488398096E-3</v>
      </c>
      <c r="O62" s="382">
        <f t="shared" si="38"/>
        <v>4.4789163207341054E-3</v>
      </c>
    </row>
    <row r="63" spans="1:15" ht="15" customHeight="1">
      <c r="A63" s="345"/>
      <c r="B63" s="265" t="s">
        <v>129</v>
      </c>
      <c r="C63" s="265" t="s">
        <v>170</v>
      </c>
      <c r="D63" s="350">
        <v>72</v>
      </c>
      <c r="E63" s="346">
        <v>67</v>
      </c>
      <c r="F63" s="198">
        <v>0</v>
      </c>
      <c r="G63" s="237">
        <v>0</v>
      </c>
      <c r="H63" s="254">
        <f t="shared" si="26"/>
        <v>3.0723277149562619E-3</v>
      </c>
      <c r="I63" s="212">
        <f t="shared" si="27"/>
        <v>2.5974025974025974E-3</v>
      </c>
      <c r="J63" s="212">
        <f t="shared" si="28"/>
        <v>0</v>
      </c>
      <c r="K63" s="255">
        <f t="shared" si="29"/>
        <v>0</v>
      </c>
      <c r="L63" s="254">
        <f t="shared" si="35"/>
        <v>6.815600151457781E-3</v>
      </c>
      <c r="M63" s="212">
        <f t="shared" si="36"/>
        <v>7.0237970437152745E-3</v>
      </c>
      <c r="N63" s="212">
        <f t="shared" si="37"/>
        <v>0</v>
      </c>
      <c r="O63" s="255">
        <f t="shared" si="38"/>
        <v>0</v>
      </c>
    </row>
    <row r="64" spans="1:15" ht="15" customHeight="1">
      <c r="A64" s="345"/>
      <c r="B64" s="265" t="s">
        <v>130</v>
      </c>
      <c r="C64" s="265" t="s">
        <v>171</v>
      </c>
      <c r="D64" s="350">
        <v>73</v>
      </c>
      <c r="E64" s="346">
        <v>415</v>
      </c>
      <c r="F64" s="346">
        <v>142</v>
      </c>
      <c r="G64" s="351">
        <v>381</v>
      </c>
      <c r="H64" s="380">
        <f t="shared" si="26"/>
        <v>3.1149989332195432E-3</v>
      </c>
      <c r="I64" s="381">
        <f t="shared" si="27"/>
        <v>1.6088389222717582E-2</v>
      </c>
      <c r="J64" s="381">
        <f t="shared" si="28"/>
        <v>6.0220525869380832E-3</v>
      </c>
      <c r="K64" s="382">
        <f t="shared" si="29"/>
        <v>1.6443677168752696E-2</v>
      </c>
      <c r="L64" s="380">
        <f t="shared" si="35"/>
        <v>6.9102612646724723E-3</v>
      </c>
      <c r="M64" s="381">
        <f t="shared" si="36"/>
        <v>4.3505608554355805E-2</v>
      </c>
      <c r="N64" s="381">
        <f t="shared" si="37"/>
        <v>1.9849035504612804E-2</v>
      </c>
      <c r="O64" s="382">
        <f t="shared" si="38"/>
        <v>4.1621149224382786E-2</v>
      </c>
    </row>
    <row r="65" spans="1:16" ht="15" customHeight="1">
      <c r="A65" s="345"/>
      <c r="B65" s="265" t="s">
        <v>131</v>
      </c>
      <c r="C65" s="265" t="s">
        <v>172</v>
      </c>
      <c r="D65" s="350">
        <v>43</v>
      </c>
      <c r="E65" s="346">
        <v>93</v>
      </c>
      <c r="F65" s="346">
        <v>30</v>
      </c>
      <c r="G65" s="351">
        <v>59</v>
      </c>
      <c r="H65" s="380">
        <f t="shared" si="26"/>
        <v>1.834862385321101E-3</v>
      </c>
      <c r="I65" s="381">
        <f t="shared" si="27"/>
        <v>3.6053498740065905E-3</v>
      </c>
      <c r="J65" s="381">
        <f t="shared" si="28"/>
        <v>1.2722646310432571E-3</v>
      </c>
      <c r="K65" s="382">
        <f t="shared" si="29"/>
        <v>2.5463962019853259E-3</v>
      </c>
      <c r="L65" s="380">
        <f t="shared" si="35"/>
        <v>4.0704278682317302E-3</v>
      </c>
      <c r="M65" s="381">
        <f t="shared" si="36"/>
        <v>9.7494496278435899E-3</v>
      </c>
      <c r="N65" s="381">
        <f t="shared" si="37"/>
        <v>4.1934582051998881E-3</v>
      </c>
      <c r="O65" s="382">
        <f t="shared" si="38"/>
        <v>6.4452698273978586E-3</v>
      </c>
    </row>
    <row r="66" spans="1:16" ht="15.95">
      <c r="A66" s="345"/>
      <c r="B66" s="266" t="s">
        <v>132</v>
      </c>
      <c r="C66" s="314"/>
      <c r="D66" s="230">
        <v>10564</v>
      </c>
      <c r="E66" s="197">
        <v>9539</v>
      </c>
      <c r="F66" s="197">
        <v>7154</v>
      </c>
      <c r="G66" s="231">
        <v>9154</v>
      </c>
      <c r="H66" s="244">
        <f t="shared" si="26"/>
        <v>0.4507787497333049</v>
      </c>
      <c r="I66" s="216">
        <f t="shared" si="27"/>
        <v>0.36980034890482649</v>
      </c>
      <c r="J66" s="216">
        <f t="shared" si="28"/>
        <v>0.30339270568278204</v>
      </c>
      <c r="K66" s="245">
        <f t="shared" si="29"/>
        <v>0.39507984462667239</v>
      </c>
      <c r="L66" s="244">
        <f t="shared" si="35"/>
        <v>1</v>
      </c>
      <c r="M66" s="216">
        <f t="shared" si="36"/>
        <v>1</v>
      </c>
      <c r="N66" s="216">
        <f t="shared" si="37"/>
        <v>1</v>
      </c>
      <c r="O66" s="245">
        <f t="shared" si="38"/>
        <v>1</v>
      </c>
    </row>
    <row r="67" spans="1:16" ht="15.95">
      <c r="A67" s="345"/>
      <c r="B67" s="264" t="s">
        <v>16</v>
      </c>
      <c r="C67" s="308"/>
      <c r="D67" s="229"/>
      <c r="E67" s="200"/>
      <c r="F67" s="200"/>
      <c r="G67" s="236"/>
      <c r="H67" s="252"/>
      <c r="I67" s="219"/>
      <c r="J67" s="219"/>
      <c r="K67" s="253"/>
      <c r="L67" s="252"/>
      <c r="M67" s="219"/>
      <c r="N67" s="219"/>
      <c r="O67" s="253"/>
    </row>
    <row r="68" spans="1:16" ht="15" customHeight="1">
      <c r="A68" s="345"/>
      <c r="B68" s="265" t="s">
        <v>124</v>
      </c>
      <c r="C68" s="265" t="s">
        <v>124</v>
      </c>
      <c r="D68" s="350">
        <v>1610</v>
      </c>
      <c r="E68" s="346">
        <v>4295</v>
      </c>
      <c r="F68" s="346">
        <v>4335</v>
      </c>
      <c r="G68" s="351">
        <v>2834</v>
      </c>
      <c r="H68" s="355">
        <f t="shared" si="26"/>
        <v>6.8700661403883076E-2</v>
      </c>
      <c r="I68" s="356">
        <f t="shared" si="27"/>
        <v>0.16650513665439037</v>
      </c>
      <c r="J68" s="356">
        <f t="shared" si="28"/>
        <v>0.18384223918575063</v>
      </c>
      <c r="K68" s="357">
        <f t="shared" si="29"/>
        <v>0.12231333621061717</v>
      </c>
      <c r="L68" s="371">
        <f>D68/D$79</f>
        <v>0.19918347148336013</v>
      </c>
      <c r="M68" s="372">
        <f t="shared" ref="M68:O68" si="39">E68/E$79</f>
        <v>0.55859019378332686</v>
      </c>
      <c r="N68" s="356">
        <f t="shared" si="39"/>
        <v>0.49088438455441058</v>
      </c>
      <c r="O68" s="357">
        <f t="shared" si="39"/>
        <v>0.47879709410373372</v>
      </c>
      <c r="P68" t="s">
        <v>173</v>
      </c>
    </row>
    <row r="69" spans="1:16" ht="15" customHeight="1">
      <c r="A69" s="345"/>
      <c r="B69" s="265" t="s">
        <v>125</v>
      </c>
      <c r="C69" s="265" t="s">
        <v>125</v>
      </c>
      <c r="D69" s="350">
        <v>57</v>
      </c>
      <c r="E69" s="346">
        <v>43</v>
      </c>
      <c r="F69" s="346">
        <v>54</v>
      </c>
      <c r="G69" s="351">
        <v>81</v>
      </c>
      <c r="H69" s="380">
        <f t="shared" si="26"/>
        <v>2.4322594410070408E-3</v>
      </c>
      <c r="I69" s="381">
        <f t="shared" si="27"/>
        <v>1.6669897266912191E-3</v>
      </c>
      <c r="J69" s="381">
        <f t="shared" si="28"/>
        <v>2.2900763358778627E-3</v>
      </c>
      <c r="K69" s="382">
        <f t="shared" si="29"/>
        <v>3.495899870522227E-3</v>
      </c>
      <c r="L69" s="380">
        <f t="shared" ref="L69:L79" si="40">D69/D$79</f>
        <v>7.0518371891624401E-3</v>
      </c>
      <c r="M69" s="381">
        <f t="shared" ref="M69:M79" si="41">E69/E$79</f>
        <v>5.5924047340356357E-3</v>
      </c>
      <c r="N69" s="381">
        <f t="shared" ref="N69:N79" si="42">F69/F$79</f>
        <v>6.1148227833767409E-3</v>
      </c>
      <c r="O69" s="382">
        <f t="shared" ref="O69:O79" si="43">G69/G$79</f>
        <v>1.3684744044602128E-2</v>
      </c>
    </row>
    <row r="70" spans="1:16" ht="15" customHeight="1">
      <c r="A70" s="345"/>
      <c r="B70" s="265" t="s">
        <v>134</v>
      </c>
      <c r="C70" s="265" t="s">
        <v>174</v>
      </c>
      <c r="D70" s="350">
        <v>2224</v>
      </c>
      <c r="E70" s="346">
        <v>1381</v>
      </c>
      <c r="F70" s="346">
        <v>1273</v>
      </c>
      <c r="G70" s="351">
        <v>1209</v>
      </c>
      <c r="H70" s="355">
        <f t="shared" si="26"/>
        <v>9.4900789417537865E-2</v>
      </c>
      <c r="I70" s="356">
        <f t="shared" si="27"/>
        <v>5.3537507268850551E-2</v>
      </c>
      <c r="J70" s="356">
        <f t="shared" si="28"/>
        <v>5.3986429177268869E-2</v>
      </c>
      <c r="K70" s="357">
        <f t="shared" si="29"/>
        <v>5.2179542511868793E-2</v>
      </c>
      <c r="L70" s="371">
        <f t="shared" si="40"/>
        <v>0.27514536681925028</v>
      </c>
      <c r="M70" s="372">
        <f t="shared" si="41"/>
        <v>0.17960723110937704</v>
      </c>
      <c r="N70" s="372">
        <f t="shared" si="42"/>
        <v>0.14415128524515911</v>
      </c>
      <c r="O70" s="373">
        <f t="shared" si="43"/>
        <v>0.20425747592498733</v>
      </c>
      <c r="P70" t="s">
        <v>175</v>
      </c>
    </row>
    <row r="71" spans="1:16" ht="15" customHeight="1">
      <c r="A71" s="345"/>
      <c r="B71" s="265" t="s">
        <v>135</v>
      </c>
      <c r="C71" s="265" t="s">
        <v>135</v>
      </c>
      <c r="D71" s="350">
        <v>3146</v>
      </c>
      <c r="E71" s="346">
        <v>496</v>
      </c>
      <c r="F71" s="346">
        <v>1924</v>
      </c>
      <c r="G71" s="351">
        <v>721</v>
      </c>
      <c r="H71" s="355">
        <f t="shared" si="26"/>
        <v>0.13424365265628332</v>
      </c>
      <c r="I71" s="356">
        <f t="shared" si="27"/>
        <v>1.9228532661368484E-2</v>
      </c>
      <c r="J71" s="356">
        <f t="shared" si="28"/>
        <v>8.1594571670907542E-2</v>
      </c>
      <c r="K71" s="357">
        <f t="shared" si="29"/>
        <v>3.1117824773413898E-2</v>
      </c>
      <c r="L71" s="371">
        <f t="shared" si="40"/>
        <v>0.38921192626500062</v>
      </c>
      <c r="M71" s="372">
        <f t="shared" si="41"/>
        <v>6.4507738327480815E-2</v>
      </c>
      <c r="N71" s="372">
        <f t="shared" si="42"/>
        <v>0.21786887102253424</v>
      </c>
      <c r="O71" s="373">
        <f t="shared" si="43"/>
        <v>0.12181111674269303</v>
      </c>
      <c r="P71" s="56"/>
    </row>
    <row r="72" spans="1:16" ht="15" customHeight="1">
      <c r="A72" s="345"/>
      <c r="B72" s="265" t="s">
        <v>136</v>
      </c>
      <c r="C72" s="265" t="s">
        <v>176</v>
      </c>
      <c r="D72" s="350">
        <v>417</v>
      </c>
      <c r="E72" s="346">
        <v>585</v>
      </c>
      <c r="F72" s="346">
        <v>555</v>
      </c>
      <c r="G72" s="351">
        <v>444</v>
      </c>
      <c r="H72" s="355">
        <f t="shared" si="26"/>
        <v>1.7793898015788352E-2</v>
      </c>
      <c r="I72" s="356">
        <f t="shared" si="27"/>
        <v>2.2678813723589843E-2</v>
      </c>
      <c r="J72" s="356">
        <f t="shared" si="28"/>
        <v>2.3536895674300253E-2</v>
      </c>
      <c r="K72" s="357">
        <f t="shared" si="29"/>
        <v>1.9162710401381098E-2</v>
      </c>
      <c r="L72" s="355">
        <f t="shared" si="40"/>
        <v>5.1589756278609428E-2</v>
      </c>
      <c r="M72" s="356">
        <f t="shared" si="41"/>
        <v>7.6082715567694109E-2</v>
      </c>
      <c r="N72" s="356">
        <f t="shared" si="42"/>
        <v>6.2846789718038726E-2</v>
      </c>
      <c r="O72" s="357">
        <f t="shared" si="43"/>
        <v>7.5012671059300554E-2</v>
      </c>
    </row>
    <row r="73" spans="1:16" ht="15" customHeight="1">
      <c r="A73" s="345"/>
      <c r="B73" s="265" t="s">
        <v>126</v>
      </c>
      <c r="C73" s="265" t="s">
        <v>126</v>
      </c>
      <c r="D73" s="350"/>
      <c r="E73" s="346">
        <v>180</v>
      </c>
      <c r="F73" s="346">
        <v>90</v>
      </c>
      <c r="G73" s="351">
        <v>173</v>
      </c>
      <c r="H73" s="355">
        <f t="shared" si="26"/>
        <v>0</v>
      </c>
      <c r="I73" s="356">
        <f t="shared" si="27"/>
        <v>6.978096530335336E-3</v>
      </c>
      <c r="J73" s="356">
        <f t="shared" si="28"/>
        <v>3.8167938931297708E-3</v>
      </c>
      <c r="K73" s="357">
        <f t="shared" si="29"/>
        <v>7.466551575312905E-3</v>
      </c>
      <c r="L73" s="355">
        <f t="shared" si="40"/>
        <v>0</v>
      </c>
      <c r="M73" s="356">
        <f t="shared" si="41"/>
        <v>2.3410066328521262E-2</v>
      </c>
      <c r="N73" s="356">
        <f t="shared" si="42"/>
        <v>1.0191371305627901E-2</v>
      </c>
      <c r="O73" s="357">
        <f t="shared" si="43"/>
        <v>2.9227910119952696E-2</v>
      </c>
    </row>
    <row r="74" spans="1:16" ht="15" customHeight="1">
      <c r="A74" s="345"/>
      <c r="B74" s="265" t="s">
        <v>127</v>
      </c>
      <c r="C74" s="265" t="s">
        <v>127</v>
      </c>
      <c r="D74" s="350">
        <v>158</v>
      </c>
      <c r="E74" s="346">
        <v>201</v>
      </c>
      <c r="F74" s="346">
        <v>207</v>
      </c>
      <c r="G74" s="351">
        <v>164</v>
      </c>
      <c r="H74" s="355">
        <f t="shared" si="26"/>
        <v>6.7420524855984635E-3</v>
      </c>
      <c r="I74" s="356">
        <f t="shared" si="27"/>
        <v>7.7922077922077922E-3</v>
      </c>
      <c r="J74" s="356">
        <f t="shared" si="28"/>
        <v>8.7786259541984737E-3</v>
      </c>
      <c r="K74" s="357">
        <f t="shared" si="29"/>
        <v>7.0781182563659905E-3</v>
      </c>
      <c r="L74" s="355">
        <f t="shared" si="40"/>
        <v>1.9547197822590623E-2</v>
      </c>
      <c r="M74" s="356">
        <f t="shared" si="41"/>
        <v>2.6141240733515411E-2</v>
      </c>
      <c r="N74" s="356">
        <f t="shared" si="42"/>
        <v>2.3440154002944174E-2</v>
      </c>
      <c r="O74" s="357">
        <f t="shared" si="43"/>
        <v>2.7707383003885793E-2</v>
      </c>
    </row>
    <row r="75" spans="1:16" ht="15" customHeight="1">
      <c r="A75" s="345"/>
      <c r="B75" s="265" t="s">
        <v>129</v>
      </c>
      <c r="C75" s="265" t="s">
        <v>170</v>
      </c>
      <c r="D75" s="350">
        <v>15</v>
      </c>
      <c r="E75" s="198">
        <v>0</v>
      </c>
      <c r="F75" s="346">
        <v>114</v>
      </c>
      <c r="G75" s="237">
        <v>0</v>
      </c>
      <c r="H75" s="256">
        <f t="shared" si="26"/>
        <v>6.400682739492212E-4</v>
      </c>
      <c r="I75" s="217">
        <f t="shared" si="27"/>
        <v>0</v>
      </c>
      <c r="J75" s="217">
        <f t="shared" si="28"/>
        <v>4.8346055979643764E-3</v>
      </c>
      <c r="K75" s="257">
        <f t="shared" si="29"/>
        <v>0</v>
      </c>
      <c r="L75" s="256">
        <f t="shared" si="40"/>
        <v>1.8557466287269578E-3</v>
      </c>
      <c r="M75" s="217">
        <f t="shared" si="41"/>
        <v>0</v>
      </c>
      <c r="N75" s="217">
        <f t="shared" si="42"/>
        <v>1.2909070320462009E-2</v>
      </c>
      <c r="O75" s="257">
        <f t="shared" si="43"/>
        <v>0</v>
      </c>
    </row>
    <row r="76" spans="1:16" ht="15" customHeight="1">
      <c r="A76" s="345"/>
      <c r="B76" s="265" t="s">
        <v>137</v>
      </c>
      <c r="C76" s="265" t="s">
        <v>177</v>
      </c>
      <c r="D76" s="350">
        <v>41</v>
      </c>
      <c r="E76" s="346">
        <v>169</v>
      </c>
      <c r="F76" s="346">
        <v>7</v>
      </c>
      <c r="G76" s="351">
        <v>49</v>
      </c>
      <c r="H76" s="355">
        <f t="shared" si="26"/>
        <v>1.7495199487945381E-3</v>
      </c>
      <c r="I76" s="356">
        <f t="shared" si="27"/>
        <v>6.5516572979259545E-3</v>
      </c>
      <c r="J76" s="356">
        <f t="shared" si="28"/>
        <v>2.9686174724342663E-4</v>
      </c>
      <c r="K76" s="357">
        <f t="shared" si="29"/>
        <v>2.1148036253776435E-3</v>
      </c>
      <c r="L76" s="355">
        <f t="shared" si="40"/>
        <v>5.0723741185203517E-3</v>
      </c>
      <c r="M76" s="356">
        <f t="shared" si="41"/>
        <v>2.1979451164000519E-2</v>
      </c>
      <c r="N76" s="356">
        <f t="shared" si="42"/>
        <v>7.9266221265994789E-4</v>
      </c>
      <c r="O76" s="357">
        <f t="shared" si="43"/>
        <v>8.2784254096975839E-3</v>
      </c>
    </row>
    <row r="77" spans="1:16" ht="15" customHeight="1">
      <c r="A77" s="345"/>
      <c r="B77" s="265" t="s">
        <v>138</v>
      </c>
      <c r="C77" s="265" t="s">
        <v>178</v>
      </c>
      <c r="D77" s="350">
        <v>269</v>
      </c>
      <c r="E77" s="346">
        <v>339</v>
      </c>
      <c r="F77" s="346">
        <v>272</v>
      </c>
      <c r="G77" s="351">
        <v>244</v>
      </c>
      <c r="H77" s="355">
        <f t="shared" si="26"/>
        <v>1.1478557712822701E-2</v>
      </c>
      <c r="I77" s="356">
        <f t="shared" si="27"/>
        <v>1.3142081798798217E-2</v>
      </c>
      <c r="J77" s="356">
        <f t="shared" si="28"/>
        <v>1.1535199321458864E-2</v>
      </c>
      <c r="K77" s="357">
        <f t="shared" si="29"/>
        <v>1.0530858869227449E-2</v>
      </c>
      <c r="L77" s="355">
        <f t="shared" si="40"/>
        <v>3.3279722875170108E-2</v>
      </c>
      <c r="M77" s="356">
        <f t="shared" si="41"/>
        <v>4.408895825204838E-2</v>
      </c>
      <c r="N77" s="356">
        <f t="shared" si="42"/>
        <v>3.0800588834786546E-2</v>
      </c>
      <c r="O77" s="357">
        <f t="shared" si="43"/>
        <v>4.1223179591147151E-2</v>
      </c>
    </row>
    <row r="78" spans="1:16" ht="15" customHeight="1">
      <c r="A78" s="345"/>
      <c r="B78" s="265" t="s">
        <v>139</v>
      </c>
      <c r="C78" s="265" t="s">
        <v>139</v>
      </c>
      <c r="D78" s="238">
        <v>26</v>
      </c>
      <c r="E78" s="200"/>
      <c r="F78" s="200"/>
      <c r="G78" s="236"/>
      <c r="H78" s="252">
        <f t="shared" si="26"/>
        <v>1.1094516748453168E-3</v>
      </c>
      <c r="I78" s="219">
        <f t="shared" si="27"/>
        <v>0</v>
      </c>
      <c r="J78" s="219">
        <f t="shared" si="28"/>
        <v>0</v>
      </c>
      <c r="K78" s="253">
        <f t="shared" si="29"/>
        <v>0</v>
      </c>
      <c r="L78" s="252">
        <f t="shared" si="40"/>
        <v>3.2166274897933935E-3</v>
      </c>
      <c r="M78" s="219">
        <f t="shared" si="41"/>
        <v>0</v>
      </c>
      <c r="N78" s="219">
        <f t="shared" si="42"/>
        <v>0</v>
      </c>
      <c r="O78" s="253">
        <f t="shared" si="43"/>
        <v>0</v>
      </c>
    </row>
    <row r="79" spans="1:16" ht="15.95">
      <c r="A79" s="345"/>
      <c r="B79" s="266" t="s">
        <v>140</v>
      </c>
      <c r="C79" s="314"/>
      <c r="D79" s="230">
        <v>8083</v>
      </c>
      <c r="E79" s="197">
        <v>7689</v>
      </c>
      <c r="F79" s="197">
        <v>8831</v>
      </c>
      <c r="G79" s="231">
        <v>5919</v>
      </c>
      <c r="H79" s="244">
        <f t="shared" si="26"/>
        <v>0.3449114572221037</v>
      </c>
      <c r="I79" s="216">
        <f t="shared" si="27"/>
        <v>0.29808102345415777</v>
      </c>
      <c r="J79" s="216">
        <f t="shared" si="28"/>
        <v>0.37451229855810009</v>
      </c>
      <c r="K79" s="245">
        <f t="shared" si="29"/>
        <v>0.25545964609408717</v>
      </c>
      <c r="L79" s="244">
        <f t="shared" si="40"/>
        <v>1</v>
      </c>
      <c r="M79" s="216">
        <f t="shared" si="41"/>
        <v>1</v>
      </c>
      <c r="N79" s="216">
        <f t="shared" si="42"/>
        <v>1</v>
      </c>
      <c r="O79" s="245">
        <f t="shared" si="43"/>
        <v>1</v>
      </c>
    </row>
    <row r="80" spans="1:16">
      <c r="A80" s="345"/>
      <c r="B80" s="270" t="s">
        <v>141</v>
      </c>
      <c r="C80" s="318"/>
      <c r="D80" s="230">
        <v>18647</v>
      </c>
      <c r="E80" s="197">
        <v>17228</v>
      </c>
      <c r="F80" s="197">
        <v>15985</v>
      </c>
      <c r="G80" s="231">
        <v>15073</v>
      </c>
      <c r="H80" s="244">
        <f t="shared" si="26"/>
        <v>0.7956902069554086</v>
      </c>
      <c r="I80" s="216">
        <f t="shared" si="27"/>
        <v>0.66788137235898426</v>
      </c>
      <c r="J80" s="216">
        <f t="shared" si="28"/>
        <v>0.67790500424088207</v>
      </c>
      <c r="K80" s="245">
        <f t="shared" si="29"/>
        <v>0.65053949072075956</v>
      </c>
      <c r="L80" s="244"/>
      <c r="M80" s="216"/>
      <c r="N80" s="216"/>
      <c r="O80" s="245"/>
    </row>
    <row r="81" spans="1:15" ht="15.95">
      <c r="A81" s="345"/>
      <c r="B81" s="271" t="s">
        <v>142</v>
      </c>
      <c r="C81" s="311"/>
      <c r="D81" s="239">
        <v>23435</v>
      </c>
      <c r="E81" s="240">
        <v>25795</v>
      </c>
      <c r="F81" s="240">
        <v>23580</v>
      </c>
      <c r="G81" s="241">
        <v>23170</v>
      </c>
      <c r="H81" s="258">
        <f t="shared" si="26"/>
        <v>1</v>
      </c>
      <c r="I81" s="259">
        <f t="shared" si="27"/>
        <v>1</v>
      </c>
      <c r="J81" s="259">
        <f t="shared" si="28"/>
        <v>1</v>
      </c>
      <c r="K81" s="260">
        <f t="shared" si="29"/>
        <v>1</v>
      </c>
      <c r="L81" s="258"/>
      <c r="M81" s="259"/>
      <c r="N81" s="259"/>
      <c r="O81" s="260"/>
    </row>
    <row r="82" spans="1:15">
      <c r="A82" s="345"/>
      <c r="B82" s="203"/>
      <c r="C82" s="203"/>
      <c r="D82" s="200"/>
      <c r="E82" s="200"/>
      <c r="F82" s="200"/>
      <c r="G82" s="200"/>
    </row>
    <row r="83" spans="1:15">
      <c r="A83" s="345"/>
      <c r="B83" s="196"/>
      <c r="C83" s="196"/>
      <c r="D83" s="346"/>
      <c r="E83" s="346"/>
      <c r="F83" s="346"/>
      <c r="G83" s="346"/>
    </row>
    <row r="84" spans="1:15">
      <c r="A84" s="345"/>
      <c r="B84" s="203"/>
      <c r="C84" s="203"/>
      <c r="D84" s="200"/>
      <c r="E84" s="200"/>
      <c r="F84" s="200"/>
      <c r="G84" s="200"/>
    </row>
    <row r="85" spans="1:15">
      <c r="A85" s="345"/>
      <c r="B85" s="203"/>
      <c r="C85" s="203"/>
      <c r="D85" s="200"/>
      <c r="E85" s="200"/>
      <c r="F85" s="200"/>
      <c r="G85" s="200"/>
    </row>
    <row r="86" spans="1:15">
      <c r="A86" s="345"/>
      <c r="B86" s="345"/>
      <c r="C86" s="345"/>
      <c r="D86" s="346"/>
      <c r="E86" s="346"/>
      <c r="F86" s="346"/>
      <c r="G86" s="346"/>
    </row>
    <row r="87" spans="1:15">
      <c r="A87" s="345"/>
      <c r="B87" s="345"/>
      <c r="C87" s="345"/>
      <c r="D87" s="346"/>
      <c r="E87" s="346"/>
      <c r="F87" s="346"/>
      <c r="G87" s="346"/>
    </row>
    <row r="88" spans="1:15">
      <c r="A88" s="345"/>
      <c r="B88" s="345"/>
      <c r="C88" s="345"/>
      <c r="D88" s="346"/>
      <c r="E88" s="346"/>
      <c r="F88" s="346"/>
      <c r="G88" s="346"/>
    </row>
    <row r="89" spans="1:15">
      <c r="A89" s="345"/>
      <c r="B89" s="345"/>
      <c r="C89" s="345"/>
      <c r="D89" s="346"/>
      <c r="E89" s="346"/>
      <c r="F89" s="346"/>
      <c r="G89" s="346"/>
    </row>
    <row r="90" spans="1:15">
      <c r="A90" s="345"/>
      <c r="B90" s="345"/>
      <c r="C90" s="345"/>
      <c r="D90" s="346"/>
      <c r="E90" s="346"/>
      <c r="F90" s="346"/>
      <c r="G90" s="346"/>
    </row>
    <row r="91" spans="1:15">
      <c r="A91" s="345"/>
      <c r="B91" s="345"/>
      <c r="C91" s="345"/>
      <c r="D91" s="346"/>
      <c r="E91" s="346"/>
      <c r="F91" s="346"/>
      <c r="G91" s="346"/>
    </row>
    <row r="92" spans="1:15">
      <c r="A92" s="345"/>
      <c r="B92" s="345"/>
      <c r="C92" s="345"/>
      <c r="D92" s="346"/>
      <c r="E92" s="346"/>
      <c r="F92" s="346"/>
      <c r="G92" s="346"/>
    </row>
    <row r="93" spans="1:15">
      <c r="A93" s="345"/>
      <c r="B93" s="345"/>
      <c r="C93" s="345"/>
      <c r="D93" s="346"/>
      <c r="E93" s="346"/>
      <c r="F93" s="346"/>
      <c r="G93" s="346"/>
    </row>
    <row r="94" spans="1:15">
      <c r="A94" s="345"/>
      <c r="B94" s="345"/>
      <c r="C94" s="345"/>
      <c r="D94" s="346"/>
      <c r="E94" s="346"/>
      <c r="F94" s="346"/>
      <c r="G94" s="346"/>
    </row>
    <row r="95" spans="1:15">
      <c r="A95" s="345"/>
      <c r="B95" s="345"/>
      <c r="C95" s="345"/>
      <c r="D95" s="346"/>
      <c r="E95" s="346"/>
      <c r="F95" s="346"/>
      <c r="G95" s="346"/>
    </row>
    <row r="96" spans="1:15">
      <c r="A96" s="345"/>
      <c r="B96" s="345"/>
      <c r="C96" s="345"/>
      <c r="D96" s="346"/>
      <c r="E96" s="346"/>
      <c r="F96" s="346"/>
      <c r="G96" s="346"/>
    </row>
    <row r="97" spans="1:7">
      <c r="A97" s="345"/>
      <c r="B97" s="345"/>
      <c r="C97" s="345"/>
      <c r="D97" s="346"/>
      <c r="E97" s="346"/>
      <c r="F97" s="346"/>
      <c r="G97" s="346"/>
    </row>
    <row r="98" spans="1:7">
      <c r="A98" s="345"/>
      <c r="B98" s="345"/>
      <c r="C98" s="345"/>
      <c r="D98" s="346"/>
      <c r="E98" s="346"/>
      <c r="F98" s="346"/>
      <c r="G98" s="346"/>
    </row>
    <row r="99" spans="1:7">
      <c r="A99" s="345"/>
      <c r="B99" s="345"/>
      <c r="C99" s="345"/>
      <c r="D99" s="346"/>
      <c r="E99" s="346"/>
      <c r="F99" s="346"/>
      <c r="G99" s="346"/>
    </row>
    <row r="100" spans="1:7">
      <c r="A100" s="345"/>
      <c r="B100" s="345"/>
      <c r="C100" s="345"/>
      <c r="D100" s="346"/>
      <c r="E100" s="346"/>
      <c r="F100" s="346"/>
      <c r="G100" s="346"/>
    </row>
    <row r="101" spans="1:7">
      <c r="A101" s="345"/>
      <c r="B101" s="345"/>
      <c r="C101" s="345"/>
      <c r="D101" s="346"/>
      <c r="E101" s="346"/>
      <c r="F101" s="346"/>
      <c r="G101" s="346"/>
    </row>
    <row r="102" spans="1:7">
      <c r="A102" s="345"/>
      <c r="B102" s="345"/>
      <c r="C102" s="345"/>
      <c r="D102" s="346"/>
      <c r="E102" s="346"/>
      <c r="F102" s="346"/>
      <c r="G102" s="346"/>
    </row>
    <row r="103" spans="1:7">
      <c r="A103" s="345"/>
      <c r="B103" s="345"/>
      <c r="C103" s="345"/>
      <c r="D103" s="346"/>
      <c r="E103" s="346"/>
      <c r="F103" s="346"/>
      <c r="G103" s="346"/>
    </row>
    <row r="104" spans="1:7">
      <c r="A104" s="345"/>
      <c r="B104" s="345"/>
      <c r="C104" s="345"/>
      <c r="D104" s="346"/>
      <c r="E104" s="346"/>
      <c r="F104" s="346"/>
      <c r="G104" s="346"/>
    </row>
    <row r="105" spans="1:7">
      <c r="A105" s="345"/>
      <c r="B105" s="345"/>
      <c r="C105" s="345"/>
      <c r="D105" s="346"/>
      <c r="E105" s="346"/>
      <c r="F105" s="346"/>
      <c r="G105" s="346"/>
    </row>
    <row r="106" spans="1:7">
      <c r="A106" s="345"/>
      <c r="B106" s="345"/>
      <c r="C106" s="345"/>
      <c r="D106" s="346"/>
      <c r="E106" s="346"/>
      <c r="F106" s="346"/>
      <c r="G106" s="346"/>
    </row>
    <row r="107" spans="1:7">
      <c r="A107" s="345"/>
      <c r="B107" s="345"/>
      <c r="C107" s="345"/>
      <c r="D107" s="346"/>
      <c r="E107" s="346"/>
      <c r="F107" s="346"/>
      <c r="G107" s="346"/>
    </row>
    <row r="108" spans="1:7">
      <c r="A108" s="345"/>
      <c r="B108" s="345"/>
      <c r="C108" s="345"/>
      <c r="D108" s="346"/>
      <c r="E108" s="346"/>
      <c r="F108" s="346"/>
      <c r="G108" s="346"/>
    </row>
  </sheetData>
  <mergeCells count="7">
    <mergeCell ref="L25:O25"/>
    <mergeCell ref="H2:K2"/>
    <mergeCell ref="B2:B3"/>
    <mergeCell ref="B25:B26"/>
    <mergeCell ref="D25:G25"/>
    <mergeCell ref="D2:G2"/>
    <mergeCell ref="H25:K25"/>
  </mergeCell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  <pageSetUpPr autoPageBreaks="0" fitToPage="1"/>
  </sheetPr>
  <dimension ref="B2:F105"/>
  <sheetViews>
    <sheetView showGridLines="0" topLeftCell="A22" zoomScaleNormal="100" workbookViewId="0">
      <selection activeCell="D25" sqref="D25"/>
    </sheetView>
  </sheetViews>
  <sheetFormatPr defaultColWidth="8.85546875" defaultRowHeight="15"/>
  <cols>
    <col min="1" max="1" width="2.42578125" customWidth="1"/>
    <col min="2" max="2" width="47.28515625" customWidth="1"/>
    <col min="3" max="7" width="16.42578125" customWidth="1"/>
    <col min="8" max="8" width="2.140625" customWidth="1"/>
    <col min="12" max="12" width="8.85546875" bestFit="1" customWidth="1"/>
    <col min="14" max="14" width="30.7109375" customWidth="1"/>
    <col min="15" max="18" width="9.7109375" bestFit="1" customWidth="1"/>
  </cols>
  <sheetData>
    <row r="2" spans="2:6" ht="15" customHeight="1">
      <c r="B2" s="470" t="s">
        <v>179</v>
      </c>
    </row>
    <row r="3" spans="2:6" ht="24.95" customHeight="1">
      <c r="B3" s="537" t="s">
        <v>0</v>
      </c>
      <c r="C3" s="537"/>
      <c r="D3" t="e" vm="5">
        <v>#VALUE!</v>
      </c>
    </row>
    <row r="4" spans="2:6" s="8" customFormat="1">
      <c r="B4" t="s">
        <v>66</v>
      </c>
      <c r="C4" s="536" t="s">
        <v>180</v>
      </c>
      <c r="D4" s="536"/>
      <c r="E4" s="536"/>
      <c r="F4" s="536"/>
    </row>
    <row r="5" spans="2:6" s="8" customFormat="1">
      <c r="B5" s="23"/>
      <c r="C5" s="20">
        <v>2021</v>
      </c>
      <c r="D5" s="20">
        <v>2022</v>
      </c>
      <c r="E5" s="20">
        <v>2023</v>
      </c>
      <c r="F5" s="20">
        <v>2024</v>
      </c>
    </row>
    <row r="6" spans="2:6" s="8" customFormat="1">
      <c r="B6" s="46" t="s">
        <v>27</v>
      </c>
      <c r="C6" s="69"/>
      <c r="D6" s="69"/>
      <c r="E6" s="69"/>
      <c r="F6" s="70"/>
    </row>
    <row r="7" spans="2:6" s="8" customFormat="1">
      <c r="B7" s="47" t="s">
        <v>73</v>
      </c>
      <c r="C7" s="66">
        <v>17103</v>
      </c>
      <c r="D7" s="66">
        <v>16073</v>
      </c>
      <c r="E7" s="66">
        <v>13702</v>
      </c>
      <c r="F7" s="67">
        <v>11848</v>
      </c>
    </row>
    <row r="8" spans="2:6" s="8" customFormat="1">
      <c r="B8" s="47" t="s">
        <v>74</v>
      </c>
      <c r="C8" s="66">
        <v>749</v>
      </c>
      <c r="D8" s="66">
        <v>803</v>
      </c>
      <c r="E8" s="66">
        <v>707</v>
      </c>
      <c r="F8" s="67">
        <v>687</v>
      </c>
    </row>
    <row r="9" spans="2:6" s="8" customFormat="1">
      <c r="B9" s="85" t="s">
        <v>75</v>
      </c>
      <c r="C9" s="86">
        <v>17852</v>
      </c>
      <c r="D9" s="86">
        <v>16876</v>
      </c>
      <c r="E9" s="86">
        <v>14409</v>
      </c>
      <c r="F9" s="87">
        <v>12535</v>
      </c>
    </row>
    <row r="10" spans="2:6" s="8" customFormat="1">
      <c r="B10" s="47" t="s">
        <v>77</v>
      </c>
      <c r="C10" s="66">
        <v>-5057</v>
      </c>
      <c r="D10" s="66">
        <v>-6103</v>
      </c>
      <c r="E10" s="66">
        <v>-6344</v>
      </c>
      <c r="F10" s="67">
        <v>-6232</v>
      </c>
    </row>
    <row r="11" spans="2:6" s="8" customFormat="1">
      <c r="B11" s="47" t="s">
        <v>78</v>
      </c>
      <c r="C11" s="66">
        <v>-753</v>
      </c>
      <c r="D11" s="66">
        <v>-810</v>
      </c>
      <c r="E11" s="66">
        <v>-688</v>
      </c>
      <c r="F11" s="67">
        <v>-656</v>
      </c>
    </row>
    <row r="12" spans="2:6" s="8" customFormat="1">
      <c r="B12" s="85" t="s">
        <v>79</v>
      </c>
      <c r="C12" s="86">
        <v>12042</v>
      </c>
      <c r="D12" s="86">
        <v>9963</v>
      </c>
      <c r="E12" s="86">
        <v>7377</v>
      </c>
      <c r="F12" s="87">
        <v>5647</v>
      </c>
    </row>
    <row r="13" spans="2:6" s="8" customFormat="1">
      <c r="B13" s="47" t="s">
        <v>80</v>
      </c>
      <c r="C13" s="66">
        <v>-989</v>
      </c>
      <c r="D13" s="66">
        <v>-1353</v>
      </c>
      <c r="E13" s="66">
        <v>-1093</v>
      </c>
      <c r="F13" s="67">
        <v>-1046</v>
      </c>
    </row>
    <row r="14" spans="2:6" s="8" customFormat="1">
      <c r="B14" s="47" t="s">
        <v>81</v>
      </c>
      <c r="C14" s="66">
        <v>-184</v>
      </c>
      <c r="D14" s="66">
        <v>-261</v>
      </c>
      <c r="E14" s="66">
        <v>-296</v>
      </c>
      <c r="F14" s="67">
        <v>-408</v>
      </c>
    </row>
    <row r="15" spans="2:6" s="8" customFormat="1">
      <c r="B15" s="47" t="s">
        <v>83</v>
      </c>
      <c r="C15" s="66">
        <v>-48</v>
      </c>
      <c r="D15" s="66">
        <v>-90</v>
      </c>
      <c r="E15" s="66">
        <v>-179</v>
      </c>
      <c r="F15" s="67">
        <v>-441</v>
      </c>
    </row>
    <row r="16" spans="2:6" s="8" customFormat="1">
      <c r="B16" s="47" t="s">
        <v>84</v>
      </c>
      <c r="C16" s="66">
        <v>-1285</v>
      </c>
      <c r="D16" s="66">
        <v>-678</v>
      </c>
      <c r="E16" s="66">
        <v>-269</v>
      </c>
      <c r="F16" s="67">
        <v>-178</v>
      </c>
    </row>
    <row r="17" spans="2:6" s="8" customFormat="1">
      <c r="B17" s="85" t="s">
        <v>85</v>
      </c>
      <c r="C17" s="86">
        <v>9536</v>
      </c>
      <c r="D17" s="86">
        <v>7581</v>
      </c>
      <c r="E17" s="86">
        <v>5540</v>
      </c>
      <c r="F17" s="87">
        <v>3574</v>
      </c>
    </row>
    <row r="18" spans="2:6" s="8" customFormat="1">
      <c r="B18" s="47" t="s">
        <v>86</v>
      </c>
      <c r="C18" s="66">
        <v>-53</v>
      </c>
      <c r="D18" s="66">
        <v>251</v>
      </c>
      <c r="E18" s="66">
        <v>-1512</v>
      </c>
      <c r="F18" s="67">
        <v>-343</v>
      </c>
    </row>
    <row r="19" spans="2:6">
      <c r="B19" s="47" t="s">
        <v>87</v>
      </c>
      <c r="C19" s="66">
        <v>-279</v>
      </c>
      <c r="D19" s="66">
        <v>-493</v>
      </c>
      <c r="E19" s="66">
        <v>-567</v>
      </c>
      <c r="F19" s="67">
        <v>-896</v>
      </c>
    </row>
    <row r="20" spans="2:6" ht="26.1">
      <c r="B20" s="47" t="s">
        <v>88</v>
      </c>
      <c r="C20" s="66">
        <v>29</v>
      </c>
      <c r="D20" s="66">
        <v>-110</v>
      </c>
      <c r="E20" s="66">
        <v>32</v>
      </c>
      <c r="F20" s="76">
        <v>0</v>
      </c>
    </row>
    <row r="21" spans="2:6">
      <c r="B21" s="47" t="s">
        <v>89</v>
      </c>
      <c r="C21" s="66">
        <v>52</v>
      </c>
      <c r="D21" s="66">
        <v>150</v>
      </c>
      <c r="E21" s="66">
        <v>41</v>
      </c>
      <c r="F21" s="67">
        <v>69</v>
      </c>
    </row>
    <row r="22" spans="2:6">
      <c r="B22" s="85" t="s">
        <v>90</v>
      </c>
      <c r="C22" s="86">
        <v>9285</v>
      </c>
      <c r="D22" s="86">
        <v>7379</v>
      </c>
      <c r="E22" s="86">
        <v>3534</v>
      </c>
      <c r="F22" s="87">
        <v>2404</v>
      </c>
    </row>
    <row r="23" spans="2:6">
      <c r="B23" s="47" t="s">
        <v>91</v>
      </c>
      <c r="C23" s="66">
        <v>-2311</v>
      </c>
      <c r="D23" s="66">
        <v>-1525</v>
      </c>
      <c r="E23" s="66">
        <v>-664</v>
      </c>
      <c r="F23" s="67">
        <v>-589</v>
      </c>
    </row>
    <row r="24" spans="2:6">
      <c r="B24" s="81" t="s">
        <v>92</v>
      </c>
      <c r="C24" s="82">
        <v>6974</v>
      </c>
      <c r="D24" s="83">
        <v>5854</v>
      </c>
      <c r="E24" s="83">
        <v>2870</v>
      </c>
      <c r="F24" s="84">
        <v>1815</v>
      </c>
    </row>
    <row r="26" spans="2:6" ht="15" customHeight="1">
      <c r="B26" s="470" t="s">
        <v>179</v>
      </c>
    </row>
    <row r="27" spans="2:6" ht="24.95" customHeight="1">
      <c r="B27" s="538" t="s">
        <v>181</v>
      </c>
      <c r="C27" s="538"/>
      <c r="D27" t="e" vm="5">
        <v>#VALUE!</v>
      </c>
      <c r="E27" s="92"/>
    </row>
    <row r="28" spans="2:6">
      <c r="B28" t="s">
        <v>66</v>
      </c>
      <c r="C28" s="536" t="s">
        <v>180</v>
      </c>
      <c r="D28" s="536"/>
      <c r="E28" s="536"/>
      <c r="F28" s="536"/>
    </row>
    <row r="29" spans="2:6">
      <c r="B29" s="319"/>
      <c r="C29" s="320">
        <v>2021</v>
      </c>
      <c r="D29" s="320">
        <v>2022</v>
      </c>
      <c r="E29" s="320">
        <v>2023</v>
      </c>
      <c r="F29" s="320">
        <v>2024</v>
      </c>
    </row>
    <row r="30" spans="2:6">
      <c r="B30" s="88" t="s">
        <v>92</v>
      </c>
      <c r="C30" s="89">
        <v>6974</v>
      </c>
      <c r="D30" s="89">
        <v>5854</v>
      </c>
      <c r="E30" s="89">
        <v>2870</v>
      </c>
      <c r="F30" s="321">
        <v>1815</v>
      </c>
    </row>
    <row r="31" spans="2:6">
      <c r="B31" s="48" t="s">
        <v>182</v>
      </c>
      <c r="C31" s="61"/>
      <c r="D31" s="77"/>
      <c r="E31" s="77"/>
      <c r="F31" s="107"/>
    </row>
    <row r="32" spans="2:6" ht="39">
      <c r="B32" s="48" t="s">
        <v>183</v>
      </c>
      <c r="C32" s="61"/>
      <c r="D32" s="77"/>
      <c r="E32" s="77"/>
      <c r="F32" s="107"/>
    </row>
    <row r="33" spans="2:6" ht="26.1">
      <c r="B33" s="49" t="s">
        <v>184</v>
      </c>
      <c r="C33" s="78">
        <v>20</v>
      </c>
      <c r="D33" s="78">
        <v>0</v>
      </c>
      <c r="E33" s="78">
        <v>0</v>
      </c>
      <c r="F33" s="79">
        <v>0</v>
      </c>
    </row>
    <row r="34" spans="2:6">
      <c r="B34" s="49" t="s">
        <v>185</v>
      </c>
      <c r="C34" s="77">
        <v>-2</v>
      </c>
      <c r="D34" s="78">
        <v>29</v>
      </c>
      <c r="E34" s="78">
        <v>-31</v>
      </c>
      <c r="F34" s="79">
        <v>-4</v>
      </c>
    </row>
    <row r="35" spans="2:6" ht="26.1">
      <c r="B35" s="48" t="s">
        <v>186</v>
      </c>
      <c r="C35" s="77"/>
      <c r="D35" s="61"/>
      <c r="E35" s="61"/>
      <c r="F35" s="80"/>
    </row>
    <row r="36" spans="2:6">
      <c r="B36" s="49" t="s">
        <v>97</v>
      </c>
      <c r="C36" s="78">
        <v>80</v>
      </c>
      <c r="D36" s="78">
        <v>891</v>
      </c>
      <c r="E36" s="78">
        <v>-1825</v>
      </c>
      <c r="F36" s="79">
        <v>-1016</v>
      </c>
    </row>
    <row r="37" spans="2:6" ht="26.1">
      <c r="B37" s="88" t="s">
        <v>187</v>
      </c>
      <c r="C37" s="322">
        <v>98</v>
      </c>
      <c r="D37" s="89">
        <v>920</v>
      </c>
      <c r="E37" s="90" t="s">
        <v>188</v>
      </c>
      <c r="F37" s="91" t="s">
        <v>189</v>
      </c>
    </row>
    <row r="38" spans="2:6" ht="26.1">
      <c r="B38" s="323" t="s">
        <v>190</v>
      </c>
      <c r="C38" s="324">
        <v>7072</v>
      </c>
      <c r="D38" s="324">
        <v>6774</v>
      </c>
      <c r="E38" s="325">
        <v>1014</v>
      </c>
      <c r="F38" s="326">
        <v>795</v>
      </c>
    </row>
    <row r="40" spans="2:6" ht="15" customHeight="1">
      <c r="B40" s="470" t="s">
        <v>179</v>
      </c>
    </row>
    <row r="41" spans="2:6" ht="24.95" customHeight="1">
      <c r="B41" s="539" t="s">
        <v>93</v>
      </c>
      <c r="C41" s="539"/>
      <c r="D41" t="e" vm="5">
        <v>#VALUE!</v>
      </c>
      <c r="E41" s="189"/>
    </row>
    <row r="42" spans="2:6">
      <c r="B42" t="s">
        <v>66</v>
      </c>
      <c r="C42" s="536" t="s">
        <v>180</v>
      </c>
      <c r="D42" s="536"/>
      <c r="E42" s="536"/>
      <c r="F42" s="536"/>
    </row>
    <row r="43" spans="2:6">
      <c r="B43" s="327"/>
      <c r="C43" s="320">
        <v>2021</v>
      </c>
      <c r="D43" s="320">
        <v>2022</v>
      </c>
      <c r="E43" s="320">
        <v>2023</v>
      </c>
      <c r="F43" s="320">
        <v>2024</v>
      </c>
    </row>
    <row r="44" spans="2:6">
      <c r="B44" s="48" t="s">
        <v>94</v>
      </c>
      <c r="C44" s="61"/>
      <c r="D44" s="62"/>
      <c r="E44" s="62"/>
      <c r="F44" s="63"/>
    </row>
    <row r="45" spans="2:6">
      <c r="B45" s="48" t="s">
        <v>95</v>
      </c>
      <c r="C45" s="61"/>
      <c r="D45" s="64"/>
      <c r="E45" s="64"/>
      <c r="F45" s="65"/>
    </row>
    <row r="46" spans="2:6">
      <c r="B46" s="49" t="s">
        <v>96</v>
      </c>
      <c r="C46" s="66">
        <v>12699</v>
      </c>
      <c r="D46" s="66">
        <v>16264</v>
      </c>
      <c r="E46" s="66">
        <v>15181</v>
      </c>
      <c r="F46" s="67">
        <v>15261</v>
      </c>
    </row>
    <row r="47" spans="2:6">
      <c r="B47" s="49" t="s">
        <v>98</v>
      </c>
      <c r="C47" s="66">
        <v>265</v>
      </c>
      <c r="D47" s="66">
        <v>302</v>
      </c>
      <c r="E47" s="66">
        <v>238</v>
      </c>
      <c r="F47" s="67">
        <v>206</v>
      </c>
    </row>
    <row r="48" spans="2:6" ht="26.1">
      <c r="B48" s="49" t="s">
        <v>99</v>
      </c>
      <c r="C48" s="68"/>
      <c r="D48" s="66">
        <v>8</v>
      </c>
      <c r="E48" s="66">
        <v>76</v>
      </c>
      <c r="F48" s="67">
        <v>181</v>
      </c>
    </row>
    <row r="49" spans="2:6">
      <c r="B49" s="49" t="s">
        <v>100</v>
      </c>
      <c r="C49" s="66">
        <v>89</v>
      </c>
      <c r="D49" s="66">
        <v>113</v>
      </c>
      <c r="E49" s="66">
        <v>58</v>
      </c>
      <c r="F49" s="67">
        <v>57</v>
      </c>
    </row>
    <row r="50" spans="2:6">
      <c r="B50" s="49" t="s">
        <v>101</v>
      </c>
      <c r="C50" s="66">
        <v>167</v>
      </c>
      <c r="D50" s="66">
        <v>340</v>
      </c>
      <c r="E50" s="66">
        <v>335</v>
      </c>
      <c r="F50" s="67">
        <v>328</v>
      </c>
    </row>
    <row r="51" spans="2:6">
      <c r="B51" s="49" t="s">
        <v>102</v>
      </c>
      <c r="C51" s="66">
        <v>345</v>
      </c>
      <c r="D51" s="66">
        <v>365</v>
      </c>
      <c r="E51" s="66">
        <v>350</v>
      </c>
      <c r="F51" s="67">
        <v>292</v>
      </c>
    </row>
    <row r="52" spans="2:6">
      <c r="B52" s="328" t="s">
        <v>103</v>
      </c>
      <c r="C52" s="329">
        <v>13565</v>
      </c>
      <c r="D52" s="329">
        <v>17392</v>
      </c>
      <c r="E52" s="329">
        <v>16238</v>
      </c>
      <c r="F52" s="330">
        <v>16325</v>
      </c>
    </row>
    <row r="53" spans="2:6">
      <c r="B53" s="48" t="s">
        <v>15</v>
      </c>
      <c r="C53" s="68"/>
      <c r="D53" s="69"/>
      <c r="E53" s="69" t="s">
        <v>104</v>
      </c>
      <c r="F53" s="70" t="s">
        <v>104</v>
      </c>
    </row>
    <row r="54" spans="2:6">
      <c r="B54" s="49" t="s">
        <v>106</v>
      </c>
      <c r="C54" s="66">
        <v>3026</v>
      </c>
      <c r="D54" s="66">
        <v>4945</v>
      </c>
      <c r="E54" s="66">
        <v>3817</v>
      </c>
      <c r="F54" s="67">
        <v>3114</v>
      </c>
    </row>
    <row r="55" spans="2:6">
      <c r="B55" s="49" t="s">
        <v>107</v>
      </c>
      <c r="C55" s="66">
        <v>468</v>
      </c>
      <c r="D55" s="66">
        <v>846</v>
      </c>
      <c r="E55" s="66">
        <v>764</v>
      </c>
      <c r="F55" s="67">
        <v>1374</v>
      </c>
    </row>
    <row r="56" spans="2:6">
      <c r="B56" s="49" t="s">
        <v>108</v>
      </c>
      <c r="C56" s="66">
        <v>111</v>
      </c>
      <c r="D56" s="66">
        <v>192</v>
      </c>
      <c r="E56" s="66">
        <v>173</v>
      </c>
      <c r="F56" s="67">
        <v>135</v>
      </c>
    </row>
    <row r="57" spans="2:6">
      <c r="B57" s="49" t="s">
        <v>100</v>
      </c>
      <c r="C57" s="66">
        <v>43</v>
      </c>
      <c r="D57" s="66">
        <v>40</v>
      </c>
      <c r="E57" s="66">
        <v>3</v>
      </c>
      <c r="F57" s="67">
        <v>69</v>
      </c>
    </row>
    <row r="58" spans="2:6">
      <c r="B58" s="49" t="s">
        <v>109</v>
      </c>
      <c r="C58" s="66">
        <v>203</v>
      </c>
      <c r="D58" s="66">
        <v>17</v>
      </c>
      <c r="E58" s="66">
        <v>101</v>
      </c>
      <c r="F58" s="67">
        <v>38</v>
      </c>
    </row>
    <row r="59" spans="2:6">
      <c r="B59" s="49" t="s">
        <v>110</v>
      </c>
      <c r="C59" s="66">
        <v>412</v>
      </c>
      <c r="D59" s="66">
        <v>477</v>
      </c>
      <c r="E59" s="66">
        <v>344</v>
      </c>
      <c r="F59" s="67">
        <v>292</v>
      </c>
    </row>
    <row r="60" spans="2:6">
      <c r="B60" s="49" t="s">
        <v>111</v>
      </c>
      <c r="C60" s="66">
        <v>5547</v>
      </c>
      <c r="D60" s="66">
        <v>1882</v>
      </c>
      <c r="E60" s="66">
        <v>2139</v>
      </c>
      <c r="F60" s="67">
        <v>1822</v>
      </c>
    </row>
    <row r="61" spans="2:6">
      <c r="B61" s="49" t="s">
        <v>112</v>
      </c>
      <c r="C61" s="66">
        <v>60</v>
      </c>
      <c r="D61" s="66">
        <v>4</v>
      </c>
      <c r="E61" s="66">
        <v>1</v>
      </c>
      <c r="F61" s="67">
        <v>1</v>
      </c>
    </row>
    <row r="62" spans="2:6">
      <c r="B62" s="328" t="s">
        <v>113</v>
      </c>
      <c r="C62" s="329">
        <v>9870</v>
      </c>
      <c r="D62" s="329">
        <v>8403</v>
      </c>
      <c r="E62" s="329">
        <v>7342</v>
      </c>
      <c r="F62" s="330">
        <v>6845</v>
      </c>
    </row>
    <row r="63" spans="2:6">
      <c r="B63" s="58"/>
      <c r="C63" s="71"/>
      <c r="D63" s="71"/>
      <c r="E63" s="71"/>
      <c r="F63" s="72"/>
    </row>
    <row r="64" spans="2:6">
      <c r="B64" s="331" t="s">
        <v>114</v>
      </c>
      <c r="C64" s="332">
        <v>23435</v>
      </c>
      <c r="D64" s="332">
        <v>25795</v>
      </c>
      <c r="E64" s="332">
        <v>23580</v>
      </c>
      <c r="F64" s="333">
        <v>23170</v>
      </c>
    </row>
    <row r="65" spans="2:6">
      <c r="B65" s="57"/>
      <c r="C65" s="68"/>
      <c r="D65" s="69"/>
      <c r="E65" s="68"/>
      <c r="F65" s="70" t="s">
        <v>104</v>
      </c>
    </row>
    <row r="66" spans="2:6">
      <c r="B66" s="48" t="s">
        <v>115</v>
      </c>
      <c r="C66" s="68"/>
      <c r="D66" s="68"/>
      <c r="E66" s="68"/>
      <c r="F66" s="70"/>
    </row>
    <row r="67" spans="2:6">
      <c r="B67" s="48" t="s">
        <v>116</v>
      </c>
      <c r="C67" s="68"/>
      <c r="D67" s="68"/>
      <c r="E67" s="68"/>
      <c r="F67" s="73"/>
    </row>
    <row r="68" spans="2:6">
      <c r="B68" s="49" t="s">
        <v>117</v>
      </c>
      <c r="C68" s="66">
        <v>6</v>
      </c>
      <c r="D68" s="66">
        <v>6</v>
      </c>
      <c r="E68" s="66">
        <v>6</v>
      </c>
      <c r="F68" s="67">
        <v>6</v>
      </c>
    </row>
    <row r="69" spans="2:6">
      <c r="B69" s="49" t="s">
        <v>118</v>
      </c>
      <c r="C69" s="66">
        <v>1218</v>
      </c>
      <c r="D69" s="66">
        <v>1212</v>
      </c>
      <c r="E69" s="66">
        <v>1212</v>
      </c>
      <c r="F69" s="67">
        <v>1212</v>
      </c>
    </row>
    <row r="70" spans="2:6">
      <c r="B70" s="59" t="s">
        <v>119</v>
      </c>
      <c r="C70" s="68">
        <v>-305</v>
      </c>
      <c r="D70" s="68"/>
      <c r="E70" s="68"/>
      <c r="F70" s="73"/>
    </row>
    <row r="71" spans="2:6">
      <c r="B71" s="49" t="s">
        <v>120</v>
      </c>
      <c r="C71" s="66">
        <v>-5415</v>
      </c>
      <c r="D71" s="66">
        <v>-4541</v>
      </c>
      <c r="E71" s="66">
        <v>-6146</v>
      </c>
      <c r="F71" s="67">
        <v>-6979</v>
      </c>
    </row>
    <row r="72" spans="2:6">
      <c r="B72" s="49" t="s">
        <v>121</v>
      </c>
      <c r="C72" s="66">
        <v>8184</v>
      </c>
      <c r="D72" s="66">
        <v>10448</v>
      </c>
      <c r="E72" s="66">
        <v>11324</v>
      </c>
      <c r="F72" s="67">
        <v>12638</v>
      </c>
    </row>
    <row r="73" spans="2:6">
      <c r="B73" s="334" t="s">
        <v>122</v>
      </c>
      <c r="C73" s="329">
        <v>4788</v>
      </c>
      <c r="D73" s="329">
        <v>8567</v>
      </c>
      <c r="E73" s="329">
        <v>7595</v>
      </c>
      <c r="F73" s="330">
        <v>8097</v>
      </c>
    </row>
    <row r="74" spans="2:6">
      <c r="B74" s="57"/>
      <c r="C74" s="74"/>
      <c r="D74" s="68"/>
      <c r="E74" s="68"/>
      <c r="F74" s="73"/>
    </row>
    <row r="75" spans="2:6">
      <c r="B75" s="48" t="s">
        <v>56</v>
      </c>
      <c r="C75" s="68"/>
      <c r="D75" s="68"/>
      <c r="E75" s="68"/>
      <c r="F75" s="73"/>
    </row>
    <row r="76" spans="2:6">
      <c r="B76" s="49" t="s">
        <v>124</v>
      </c>
      <c r="C76" s="66">
        <v>8616</v>
      </c>
      <c r="D76" s="66">
        <v>7189</v>
      </c>
      <c r="E76" s="66">
        <v>5377</v>
      </c>
      <c r="F76" s="67">
        <v>7112</v>
      </c>
    </row>
    <row r="77" spans="2:6">
      <c r="B77" s="49" t="s">
        <v>125</v>
      </c>
      <c r="C77" s="66">
        <v>178</v>
      </c>
      <c r="D77" s="66">
        <v>190</v>
      </c>
      <c r="E77" s="66">
        <v>466</v>
      </c>
      <c r="F77" s="67">
        <v>381</v>
      </c>
    </row>
    <row r="78" spans="2:6">
      <c r="B78" s="49" t="s">
        <v>126</v>
      </c>
      <c r="C78" s="66">
        <v>894</v>
      </c>
      <c r="D78" s="66">
        <v>916</v>
      </c>
      <c r="E78" s="66">
        <v>689</v>
      </c>
      <c r="F78" s="67">
        <v>881</v>
      </c>
    </row>
    <row r="79" spans="2:6">
      <c r="B79" s="49" t="s">
        <v>127</v>
      </c>
      <c r="C79" s="66">
        <v>633</v>
      </c>
      <c r="D79" s="66">
        <v>613</v>
      </c>
      <c r="E79" s="66">
        <v>399</v>
      </c>
      <c r="F79" s="67">
        <v>299</v>
      </c>
    </row>
    <row r="80" spans="2:6">
      <c r="B80" s="49" t="s">
        <v>128</v>
      </c>
      <c r="C80" s="66">
        <v>55</v>
      </c>
      <c r="D80" s="66">
        <v>56</v>
      </c>
      <c r="E80" s="66">
        <v>51</v>
      </c>
      <c r="F80" s="67">
        <v>41</v>
      </c>
    </row>
    <row r="81" spans="2:6">
      <c r="B81" s="49" t="s">
        <v>129</v>
      </c>
      <c r="C81" s="66">
        <v>72</v>
      </c>
      <c r="D81" s="66">
        <v>67</v>
      </c>
      <c r="E81" s="75">
        <v>0</v>
      </c>
      <c r="F81" s="76">
        <v>0</v>
      </c>
    </row>
    <row r="82" spans="2:6">
      <c r="B82" s="49" t="s">
        <v>130</v>
      </c>
      <c r="C82" s="66">
        <v>73</v>
      </c>
      <c r="D82" s="66">
        <v>415</v>
      </c>
      <c r="E82" s="66">
        <v>142</v>
      </c>
      <c r="F82" s="67">
        <v>381</v>
      </c>
    </row>
    <row r="83" spans="2:6">
      <c r="B83" s="49" t="s">
        <v>131</v>
      </c>
      <c r="C83" s="66">
        <v>43</v>
      </c>
      <c r="D83" s="66">
        <v>93</v>
      </c>
      <c r="E83" s="66">
        <v>30</v>
      </c>
      <c r="F83" s="67">
        <v>59</v>
      </c>
    </row>
    <row r="84" spans="2:6">
      <c r="B84" s="335" t="s">
        <v>132</v>
      </c>
      <c r="C84" s="86">
        <v>10564</v>
      </c>
      <c r="D84" s="86">
        <v>9539</v>
      </c>
      <c r="E84" s="86">
        <v>7154</v>
      </c>
      <c r="F84" s="87">
        <v>9154</v>
      </c>
    </row>
    <row r="85" spans="2:6">
      <c r="B85" s="336"/>
      <c r="C85" s="337"/>
      <c r="D85" s="337"/>
      <c r="E85" s="337"/>
      <c r="F85" s="338"/>
    </row>
    <row r="86" spans="2:6">
      <c r="B86" s="48" t="s">
        <v>16</v>
      </c>
      <c r="C86" s="68"/>
      <c r="D86" s="68"/>
      <c r="E86" s="68"/>
      <c r="F86" s="73"/>
    </row>
    <row r="87" spans="2:6">
      <c r="B87" s="49" t="s">
        <v>124</v>
      </c>
      <c r="C87" s="66">
        <v>1610</v>
      </c>
      <c r="D87" s="66">
        <v>4295</v>
      </c>
      <c r="E87" s="66">
        <v>4335</v>
      </c>
      <c r="F87" s="67">
        <v>2834</v>
      </c>
    </row>
    <row r="88" spans="2:6">
      <c r="B88" s="49" t="s">
        <v>125</v>
      </c>
      <c r="C88" s="66">
        <v>57</v>
      </c>
      <c r="D88" s="66">
        <v>43</v>
      </c>
      <c r="E88" s="66">
        <v>54</v>
      </c>
      <c r="F88" s="67">
        <v>81</v>
      </c>
    </row>
    <row r="89" spans="2:6">
      <c r="B89" s="49" t="s">
        <v>134</v>
      </c>
      <c r="C89" s="66">
        <v>2224</v>
      </c>
      <c r="D89" s="66">
        <v>1381</v>
      </c>
      <c r="E89" s="66">
        <v>1273</v>
      </c>
      <c r="F89" s="67">
        <v>1209</v>
      </c>
    </row>
    <row r="90" spans="2:6">
      <c r="B90" s="49" t="s">
        <v>135</v>
      </c>
      <c r="C90" s="66">
        <v>3146</v>
      </c>
      <c r="D90" s="66">
        <v>496</v>
      </c>
      <c r="E90" s="66">
        <v>1924</v>
      </c>
      <c r="F90" s="67">
        <v>721</v>
      </c>
    </row>
    <row r="91" spans="2:6">
      <c r="B91" s="49" t="s">
        <v>136</v>
      </c>
      <c r="C91" s="66">
        <v>417</v>
      </c>
      <c r="D91" s="66">
        <v>585</v>
      </c>
      <c r="E91" s="66">
        <v>555</v>
      </c>
      <c r="F91" s="67">
        <v>444</v>
      </c>
    </row>
    <row r="92" spans="2:6">
      <c r="B92" s="49" t="s">
        <v>126</v>
      </c>
      <c r="C92" s="66"/>
      <c r="D92" s="66">
        <v>180</v>
      </c>
      <c r="E92" s="66">
        <v>90</v>
      </c>
      <c r="F92" s="67">
        <v>173</v>
      </c>
    </row>
    <row r="93" spans="2:6">
      <c r="B93" s="49" t="s">
        <v>127</v>
      </c>
      <c r="C93" s="66">
        <v>158</v>
      </c>
      <c r="D93" s="66">
        <v>201</v>
      </c>
      <c r="E93" s="66">
        <v>207</v>
      </c>
      <c r="F93" s="67">
        <v>164</v>
      </c>
    </row>
    <row r="94" spans="2:6">
      <c r="B94" s="49" t="s">
        <v>129</v>
      </c>
      <c r="C94" s="66">
        <v>15</v>
      </c>
      <c r="D94" s="75">
        <v>0</v>
      </c>
      <c r="E94" s="66">
        <v>114</v>
      </c>
      <c r="F94" s="76">
        <v>0</v>
      </c>
    </row>
    <row r="95" spans="2:6">
      <c r="B95" s="49" t="s">
        <v>137</v>
      </c>
      <c r="C95" s="66">
        <v>41</v>
      </c>
      <c r="D95" s="66">
        <v>169</v>
      </c>
      <c r="E95" s="66">
        <v>7</v>
      </c>
      <c r="F95" s="67">
        <v>49</v>
      </c>
    </row>
    <row r="96" spans="2:6">
      <c r="B96" s="49" t="s">
        <v>138</v>
      </c>
      <c r="C96" s="66">
        <v>269</v>
      </c>
      <c r="D96" s="66">
        <v>339</v>
      </c>
      <c r="E96" s="66">
        <v>272</v>
      </c>
      <c r="F96" s="67">
        <v>244</v>
      </c>
    </row>
    <row r="97" spans="2:6">
      <c r="B97" s="49" t="s">
        <v>139</v>
      </c>
      <c r="C97" s="75">
        <v>26</v>
      </c>
      <c r="D97" s="68"/>
      <c r="E97" s="68"/>
      <c r="F97" s="73"/>
    </row>
    <row r="98" spans="2:6">
      <c r="B98" s="328" t="s">
        <v>140</v>
      </c>
      <c r="C98" s="329">
        <v>8083</v>
      </c>
      <c r="D98" s="329">
        <v>7689</v>
      </c>
      <c r="E98" s="329">
        <v>8831</v>
      </c>
      <c r="F98" s="330">
        <v>5919</v>
      </c>
    </row>
    <row r="99" spans="2:6">
      <c r="B99" s="57"/>
      <c r="C99" s="68"/>
      <c r="D99" s="68"/>
      <c r="E99" s="68"/>
      <c r="F99" s="73"/>
    </row>
    <row r="100" spans="2:6">
      <c r="B100" s="339" t="s">
        <v>141</v>
      </c>
      <c r="C100" s="340">
        <v>18647</v>
      </c>
      <c r="D100" s="340">
        <v>17228</v>
      </c>
      <c r="E100" s="340">
        <v>15985</v>
      </c>
      <c r="F100" s="341">
        <v>15073</v>
      </c>
    </row>
    <row r="101" spans="2:6">
      <c r="B101" s="57"/>
      <c r="C101" s="68"/>
      <c r="D101" s="68"/>
      <c r="E101" s="68"/>
      <c r="F101" s="73"/>
    </row>
    <row r="102" spans="2:6">
      <c r="B102" s="331" t="s">
        <v>142</v>
      </c>
      <c r="C102" s="332">
        <v>23435</v>
      </c>
      <c r="D102" s="332">
        <v>25795</v>
      </c>
      <c r="E102" s="332">
        <v>23580</v>
      </c>
      <c r="F102" s="333">
        <v>23170</v>
      </c>
    </row>
    <row r="103" spans="2:6">
      <c r="B103" s="342"/>
      <c r="C103" s="342"/>
      <c r="D103" s="342"/>
      <c r="E103" s="342"/>
      <c r="F103" s="342"/>
    </row>
    <row r="104" spans="2:6">
      <c r="B104" s="47" t="s">
        <v>191</v>
      </c>
      <c r="C104" s="193">
        <v>928</v>
      </c>
      <c r="D104" s="193">
        <v>1026</v>
      </c>
      <c r="E104" s="193">
        <v>1165</v>
      </c>
      <c r="F104" s="67">
        <v>1181</v>
      </c>
    </row>
    <row r="105" spans="2:6">
      <c r="F105" s="116"/>
    </row>
  </sheetData>
  <mergeCells count="6">
    <mergeCell ref="C42:F42"/>
    <mergeCell ref="B3:C3"/>
    <mergeCell ref="B27:C27"/>
    <mergeCell ref="B41:C41"/>
    <mergeCell ref="C4:F4"/>
    <mergeCell ref="C28:F28"/>
  </mergeCells>
  <printOptions horizontalCentered="1"/>
  <pageMargins left="0.25" right="0.25" top="0.75" bottom="0.75" header="0.3" footer="0.3"/>
  <pageSetup scale="7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471E-801F-42B1-A1CC-0944AC9E3D82}">
  <sheetPr>
    <tabColor theme="4" tint="0.39997558519241921"/>
    <pageSetUpPr autoPageBreaks="0" fitToPage="1"/>
  </sheetPr>
  <dimension ref="A2:G112"/>
  <sheetViews>
    <sheetView showGridLines="0" topLeftCell="A115" zoomScaleNormal="100" workbookViewId="0">
      <selection activeCell="G35" sqref="G35"/>
    </sheetView>
  </sheetViews>
  <sheetFormatPr defaultColWidth="8.85546875" defaultRowHeight="15"/>
  <cols>
    <col min="1" max="1" width="2.42578125" customWidth="1"/>
    <col min="2" max="2" width="47.28515625" customWidth="1"/>
    <col min="3" max="6" width="16.42578125" customWidth="1"/>
  </cols>
  <sheetData>
    <row r="2" spans="2:6">
      <c r="B2" t="s">
        <v>192</v>
      </c>
    </row>
    <row r="3" spans="2:6" ht="24.95" customHeight="1">
      <c r="B3" s="541" t="s">
        <v>0</v>
      </c>
      <c r="C3" s="541"/>
      <c r="D3" s="15" t="e" vm="6">
        <v>#VALUE!</v>
      </c>
      <c r="E3" s="15"/>
      <c r="F3" s="15"/>
    </row>
    <row r="4" spans="2:6" s="8" customFormat="1">
      <c r="B4" s="15" t="s">
        <v>66</v>
      </c>
      <c r="C4" s="540" t="s">
        <v>180</v>
      </c>
      <c r="D4" s="540"/>
      <c r="E4" s="540"/>
      <c r="F4" s="540"/>
    </row>
    <row r="5" spans="2:6" s="6" customFormat="1">
      <c r="B5" s="471"/>
      <c r="C5" s="471">
        <v>2021</v>
      </c>
      <c r="D5" s="471">
        <v>2022</v>
      </c>
      <c r="E5" s="471">
        <v>2023</v>
      </c>
      <c r="F5" s="471">
        <v>2024</v>
      </c>
    </row>
    <row r="6" spans="2:6" s="8" customFormat="1">
      <c r="B6" s="445" t="s">
        <v>27</v>
      </c>
      <c r="C6" s="443">
        <v>54502</v>
      </c>
      <c r="D6" s="443">
        <v>43839</v>
      </c>
      <c r="E6" s="443">
        <v>41784</v>
      </c>
      <c r="F6" s="443">
        <v>38056</v>
      </c>
    </row>
    <row r="7" spans="2:6" s="8" customFormat="1">
      <c r="B7" s="445" t="s">
        <v>193</v>
      </c>
      <c r="C7" s="443">
        <v>-21729</v>
      </c>
      <c r="D7" s="443">
        <v>-24028</v>
      </c>
      <c r="E7" s="443">
        <v>-24089</v>
      </c>
      <c r="F7" s="443">
        <v>-24265</v>
      </c>
    </row>
    <row r="8" spans="2:6" s="8" customFormat="1">
      <c r="B8" s="335" t="s">
        <v>79</v>
      </c>
      <c r="C8" s="385">
        <v>32773</v>
      </c>
      <c r="D8" s="385">
        <v>19811</v>
      </c>
      <c r="E8" s="385">
        <v>17695</v>
      </c>
      <c r="F8" s="385">
        <v>13791</v>
      </c>
    </row>
    <row r="9" spans="2:6" s="8" customFormat="1">
      <c r="B9" s="446" t="s">
        <v>194</v>
      </c>
      <c r="C9" s="443">
        <v>-481</v>
      </c>
      <c r="D9" s="443">
        <v>-515</v>
      </c>
      <c r="E9" s="443">
        <v>-553</v>
      </c>
      <c r="F9" s="443">
        <v>-622</v>
      </c>
    </row>
    <row r="10" spans="2:6" s="8" customFormat="1">
      <c r="B10" s="446" t="s">
        <v>195</v>
      </c>
      <c r="C10" s="443">
        <v>-549</v>
      </c>
      <c r="D10" s="443">
        <v>-660</v>
      </c>
      <c r="E10" s="443">
        <v>-723</v>
      </c>
      <c r="F10" s="443">
        <v>-790</v>
      </c>
    </row>
    <row r="11" spans="2:6" s="8" customFormat="1">
      <c r="B11" s="446" t="s">
        <v>196</v>
      </c>
      <c r="C11" s="443">
        <v>-648</v>
      </c>
      <c r="D11" s="443">
        <v>-479</v>
      </c>
      <c r="E11" s="443">
        <v>-450</v>
      </c>
      <c r="F11" s="443">
        <v>-403</v>
      </c>
    </row>
    <row r="12" spans="2:6" s="8" customFormat="1">
      <c r="B12" s="446" t="s">
        <v>197</v>
      </c>
      <c r="C12" s="443">
        <v>-426</v>
      </c>
      <c r="D12" s="443">
        <v>773</v>
      </c>
      <c r="E12" s="443">
        <v>-266</v>
      </c>
      <c r="F12" s="443">
        <v>301</v>
      </c>
    </row>
    <row r="13" spans="2:6" s="8" customFormat="1">
      <c r="B13" s="446" t="s">
        <v>198</v>
      </c>
      <c r="C13" s="443">
        <v>-2976</v>
      </c>
      <c r="D13" s="443">
        <v>-1722</v>
      </c>
      <c r="E13" s="443">
        <v>-1498</v>
      </c>
      <c r="F13" s="443">
        <v>-1489</v>
      </c>
    </row>
    <row r="14" spans="2:6" s="8" customFormat="1">
      <c r="B14" s="335" t="s">
        <v>85</v>
      </c>
      <c r="C14" s="385">
        <v>27693</v>
      </c>
      <c r="D14" s="385">
        <v>17208</v>
      </c>
      <c r="E14" s="385">
        <v>14205</v>
      </c>
      <c r="F14" s="385">
        <v>10788</v>
      </c>
    </row>
    <row r="15" spans="2:6" s="8" customFormat="1">
      <c r="B15" s="446" t="s">
        <v>199</v>
      </c>
      <c r="C15" s="443">
        <v>337</v>
      </c>
      <c r="D15" s="443">
        <v>520</v>
      </c>
      <c r="E15" s="443">
        <v>432</v>
      </c>
      <c r="F15" s="443">
        <v>422</v>
      </c>
    </row>
    <row r="16" spans="2:6">
      <c r="B16" s="446" t="s">
        <v>200</v>
      </c>
      <c r="C16" s="443">
        <v>-1249</v>
      </c>
      <c r="D16" s="443">
        <v>-1179</v>
      </c>
      <c r="E16" s="443">
        <v>-1459</v>
      </c>
      <c r="F16" s="443">
        <v>-1473</v>
      </c>
    </row>
    <row r="17" spans="2:6" ht="39">
      <c r="B17" s="446" t="s">
        <v>201</v>
      </c>
      <c r="C17" s="443">
        <v>-1271</v>
      </c>
      <c r="D17" s="443">
        <v>2927</v>
      </c>
      <c r="E17" s="444">
        <v>-919</v>
      </c>
      <c r="F17" s="444">
        <v>-2772</v>
      </c>
    </row>
    <row r="18" spans="2:6">
      <c r="B18" s="446" t="s">
        <v>202</v>
      </c>
      <c r="C18" s="443">
        <v>4031</v>
      </c>
      <c r="D18" s="443">
        <v>305</v>
      </c>
      <c r="E18" s="443">
        <v>-1108</v>
      </c>
      <c r="F18" s="443">
        <v>-269</v>
      </c>
    </row>
    <row r="19" spans="2:6">
      <c r="B19" s="335" t="s">
        <v>90</v>
      </c>
      <c r="C19" s="385">
        <v>29541</v>
      </c>
      <c r="D19" s="385">
        <v>19781</v>
      </c>
      <c r="E19" s="385">
        <v>11151</v>
      </c>
      <c r="F19" s="385">
        <v>6696</v>
      </c>
    </row>
    <row r="20" spans="2:6">
      <c r="B20" s="446" t="s">
        <v>91</v>
      </c>
      <c r="C20" s="443">
        <v>-4697</v>
      </c>
      <c r="D20" s="443">
        <v>-721</v>
      </c>
      <c r="E20" s="443">
        <v>-3046</v>
      </c>
      <c r="F20" s="443">
        <v>-2971</v>
      </c>
    </row>
    <row r="21" spans="2:6">
      <c r="B21" s="403" t="s">
        <v>92</v>
      </c>
      <c r="C21" s="447">
        <v>24844</v>
      </c>
      <c r="D21" s="447">
        <v>16810</v>
      </c>
      <c r="E21" s="447">
        <v>8105</v>
      </c>
      <c r="F21" s="447">
        <v>6166</v>
      </c>
    </row>
    <row r="23" spans="2:6">
      <c r="B23" t="s">
        <v>192</v>
      </c>
    </row>
    <row r="24" spans="2:6" ht="24.95" customHeight="1">
      <c r="B24" s="542" t="s">
        <v>181</v>
      </c>
      <c r="C24" s="542"/>
      <c r="D24" s="15" t="e" vm="6">
        <v>#VALUE!</v>
      </c>
      <c r="E24" s="406"/>
      <c r="F24" s="15"/>
    </row>
    <row r="25" spans="2:6">
      <c r="B25" s="15" t="s">
        <v>66</v>
      </c>
      <c r="C25" s="540" t="s">
        <v>180</v>
      </c>
      <c r="D25" s="540"/>
      <c r="E25" s="540"/>
      <c r="F25" s="540"/>
    </row>
    <row r="26" spans="2:6" s="6" customFormat="1">
      <c r="B26" s="471"/>
      <c r="C26" s="471">
        <v>2021</v>
      </c>
      <c r="D26" s="471">
        <v>2022</v>
      </c>
      <c r="E26" s="471">
        <v>2023</v>
      </c>
      <c r="F26" s="471">
        <v>2024</v>
      </c>
    </row>
    <row r="27" spans="2:6">
      <c r="B27" s="88" t="s">
        <v>92</v>
      </c>
      <c r="C27" s="448">
        <v>22468</v>
      </c>
      <c r="D27" s="385">
        <v>18870</v>
      </c>
      <c r="E27" s="385">
        <v>8105</v>
      </c>
      <c r="F27" s="385">
        <v>5975</v>
      </c>
    </row>
    <row r="28" spans="2:6">
      <c r="B28" s="48" t="s">
        <v>182</v>
      </c>
      <c r="C28" s="453"/>
      <c r="D28" s="454"/>
      <c r="E28" s="454"/>
      <c r="F28" s="454"/>
    </row>
    <row r="29" spans="2:6" ht="39">
      <c r="B29" s="48" t="s">
        <v>203</v>
      </c>
      <c r="C29" s="453"/>
      <c r="D29" s="454"/>
      <c r="E29" s="454"/>
      <c r="F29" s="454"/>
    </row>
    <row r="30" spans="2:6">
      <c r="B30" s="49" t="s">
        <v>97</v>
      </c>
      <c r="C30" s="454">
        <v>918</v>
      </c>
      <c r="D30" s="454">
        <v>-1306</v>
      </c>
      <c r="E30" s="454">
        <v>-522</v>
      </c>
      <c r="F30" s="454">
        <v>2237</v>
      </c>
    </row>
    <row r="31" spans="2:6">
      <c r="B31" s="57" t="s">
        <v>204</v>
      </c>
      <c r="C31" s="454">
        <v>-118</v>
      </c>
      <c r="D31" s="454">
        <v>81</v>
      </c>
      <c r="E31" s="454">
        <v>139</v>
      </c>
      <c r="F31" s="454">
        <v>-500</v>
      </c>
    </row>
    <row r="32" spans="2:6">
      <c r="B32" s="449" t="s">
        <v>205</v>
      </c>
      <c r="C32" s="454">
        <v>3</v>
      </c>
      <c r="D32" s="454">
        <v>19</v>
      </c>
      <c r="E32" s="454">
        <v>-19</v>
      </c>
      <c r="F32" s="454" t="s">
        <v>206</v>
      </c>
    </row>
    <row r="33" spans="1:7" ht="26.1">
      <c r="B33" s="450" t="s">
        <v>207</v>
      </c>
      <c r="C33" s="454">
        <v>-4749</v>
      </c>
      <c r="D33" s="454">
        <v>-483</v>
      </c>
      <c r="E33" s="454" t="s">
        <v>206</v>
      </c>
      <c r="F33" s="454">
        <v>-1115</v>
      </c>
    </row>
    <row r="34" spans="1:7" ht="26.1">
      <c r="B34" s="48" t="s">
        <v>208</v>
      </c>
      <c r="C34" s="454"/>
      <c r="D34" s="454"/>
      <c r="E34" s="454"/>
      <c r="F34" s="454"/>
    </row>
    <row r="35" spans="1:7">
      <c r="B35" s="57" t="s">
        <v>209</v>
      </c>
      <c r="C35" s="454">
        <v>-2174</v>
      </c>
      <c r="D35" s="454">
        <v>2259</v>
      </c>
      <c r="E35" s="454">
        <v>2966</v>
      </c>
      <c r="F35" s="454">
        <v>-9172</v>
      </c>
    </row>
    <row r="36" spans="1:7">
      <c r="B36" s="57" t="s">
        <v>210</v>
      </c>
      <c r="C36" s="454">
        <v>475</v>
      </c>
      <c r="D36" s="454">
        <v>269</v>
      </c>
      <c r="E36" s="454">
        <v>-68</v>
      </c>
      <c r="F36" s="454">
        <v>102</v>
      </c>
    </row>
    <row r="37" spans="1:7">
      <c r="B37" s="57" t="s">
        <v>211</v>
      </c>
      <c r="C37" s="454">
        <v>397</v>
      </c>
      <c r="D37" s="454" t="s">
        <v>206</v>
      </c>
      <c r="E37" s="454">
        <v>13</v>
      </c>
      <c r="F37" s="454" t="s">
        <v>206</v>
      </c>
    </row>
    <row r="38" spans="1:7">
      <c r="B38" s="57"/>
      <c r="C38" s="454">
        <v>-1302</v>
      </c>
      <c r="D38" s="454">
        <v>2528</v>
      </c>
      <c r="E38" s="454">
        <v>2911</v>
      </c>
      <c r="F38" s="454">
        <v>-9070</v>
      </c>
    </row>
    <row r="39" spans="1:7" ht="26.1">
      <c r="B39" s="88" t="s">
        <v>187</v>
      </c>
      <c r="C39" s="385">
        <v>17220</v>
      </c>
      <c r="D39" s="448">
        <v>-2473</v>
      </c>
      <c r="E39" s="385">
        <v>10614</v>
      </c>
      <c r="F39" s="385">
        <v>15362</v>
      </c>
    </row>
    <row r="40" spans="1:7" ht="26.1">
      <c r="B40" s="407" t="s">
        <v>190</v>
      </c>
      <c r="C40" s="451">
        <v>17199</v>
      </c>
      <c r="D40" s="452">
        <v>-2189</v>
      </c>
      <c r="E40" s="447">
        <v>10489</v>
      </c>
      <c r="F40" s="447">
        <v>15282</v>
      </c>
    </row>
    <row r="42" spans="1:7">
      <c r="B42" t="s">
        <v>192</v>
      </c>
    </row>
    <row r="43" spans="1:7" ht="24.95" customHeight="1">
      <c r="B43" s="542" t="s">
        <v>93</v>
      </c>
      <c r="C43" s="542"/>
      <c r="D43" s="462" t="e" vm="6">
        <v>#VALUE!</v>
      </c>
      <c r="E43" s="405"/>
      <c r="F43" s="409"/>
    </row>
    <row r="44" spans="1:7">
      <c r="B44" s="15" t="s">
        <v>66</v>
      </c>
      <c r="C44" s="540" t="s">
        <v>180</v>
      </c>
      <c r="D44" s="540"/>
      <c r="E44" s="540"/>
      <c r="F44" s="540"/>
    </row>
    <row r="45" spans="1:7" s="472" customFormat="1">
      <c r="A45" s="6"/>
      <c r="B45" s="471"/>
      <c r="C45" s="471">
        <v>2021</v>
      </c>
      <c r="D45" s="471">
        <v>2022</v>
      </c>
      <c r="E45" s="471">
        <v>2023</v>
      </c>
      <c r="F45" s="471">
        <v>2024</v>
      </c>
      <c r="G45" s="6"/>
    </row>
    <row r="46" spans="1:7">
      <c r="B46" s="463" t="s">
        <v>94</v>
      </c>
      <c r="C46" s="453"/>
      <c r="D46" s="453"/>
      <c r="E46" s="453"/>
      <c r="F46" s="453"/>
    </row>
    <row r="47" spans="1:7">
      <c r="B47" s="463" t="s">
        <v>15</v>
      </c>
      <c r="C47" s="453"/>
      <c r="D47" s="454"/>
      <c r="E47" s="454"/>
      <c r="F47" s="454"/>
    </row>
    <row r="48" spans="1:7">
      <c r="B48" s="464" t="s">
        <v>111</v>
      </c>
      <c r="C48" s="443">
        <v>11721</v>
      </c>
      <c r="D48" s="443">
        <v>4736</v>
      </c>
      <c r="E48" s="443">
        <v>3609</v>
      </c>
      <c r="F48" s="443">
        <v>4953</v>
      </c>
    </row>
    <row r="49" spans="2:6">
      <c r="B49" s="464" t="s">
        <v>212</v>
      </c>
      <c r="C49" s="443">
        <v>184</v>
      </c>
      <c r="D49" s="443">
        <v>61</v>
      </c>
      <c r="E49" s="443">
        <v>51</v>
      </c>
      <c r="F49" s="443">
        <v>53</v>
      </c>
    </row>
    <row r="50" spans="2:6">
      <c r="B50" s="464" t="s">
        <v>24</v>
      </c>
      <c r="C50" s="443">
        <v>3914</v>
      </c>
      <c r="D50" s="443">
        <v>4319</v>
      </c>
      <c r="E50" s="443">
        <v>4197</v>
      </c>
      <c r="F50" s="443">
        <v>2358</v>
      </c>
    </row>
    <row r="51" spans="2:6">
      <c r="B51" s="464" t="s">
        <v>100</v>
      </c>
      <c r="C51" s="443">
        <v>111</v>
      </c>
      <c r="D51" s="443">
        <v>342</v>
      </c>
      <c r="E51" s="443">
        <v>271</v>
      </c>
      <c r="F51" s="443">
        <v>53</v>
      </c>
    </row>
    <row r="52" spans="2:6">
      <c r="B52" s="464" t="s">
        <v>106</v>
      </c>
      <c r="C52" s="443">
        <v>4377</v>
      </c>
      <c r="D52" s="443">
        <v>4482</v>
      </c>
      <c r="E52" s="443">
        <v>4684</v>
      </c>
      <c r="F52" s="443">
        <v>4605</v>
      </c>
    </row>
    <row r="53" spans="2:6">
      <c r="B53" s="464" t="s">
        <v>213</v>
      </c>
      <c r="C53" s="443">
        <v>862</v>
      </c>
      <c r="D53" s="443">
        <v>1272</v>
      </c>
      <c r="E53" s="443">
        <v>900</v>
      </c>
      <c r="F53" s="443">
        <v>1100</v>
      </c>
    </row>
    <row r="54" spans="2:6">
      <c r="B54" s="464" t="s">
        <v>214</v>
      </c>
      <c r="C54" s="455" t="s">
        <v>206</v>
      </c>
      <c r="D54" s="456" t="s">
        <v>206</v>
      </c>
      <c r="E54" s="443">
        <v>611</v>
      </c>
      <c r="F54" s="456" t="s">
        <v>206</v>
      </c>
    </row>
    <row r="55" spans="2:6">
      <c r="B55" s="464" t="s">
        <v>215</v>
      </c>
      <c r="C55" s="443">
        <v>215</v>
      </c>
      <c r="D55" s="443">
        <v>314</v>
      </c>
      <c r="E55" s="443">
        <v>444</v>
      </c>
      <c r="F55" s="443">
        <v>359</v>
      </c>
    </row>
    <row r="56" spans="2:6">
      <c r="B56" s="464" t="s">
        <v>104</v>
      </c>
      <c r="C56" s="457">
        <v>21384</v>
      </c>
      <c r="D56" s="457">
        <v>15526</v>
      </c>
      <c r="E56" s="457">
        <v>14767</v>
      </c>
      <c r="F56" s="457">
        <v>13481</v>
      </c>
    </row>
    <row r="57" spans="2:6">
      <c r="B57" s="464" t="s">
        <v>216</v>
      </c>
      <c r="C57" s="443">
        <v>976</v>
      </c>
      <c r="D57" s="458" t="s">
        <v>206</v>
      </c>
      <c r="E57" s="443">
        <v>3933</v>
      </c>
      <c r="F57" s="456" t="s">
        <v>206</v>
      </c>
    </row>
    <row r="58" spans="2:6">
      <c r="B58" s="410" t="s">
        <v>104</v>
      </c>
      <c r="C58" s="457">
        <v>22360</v>
      </c>
      <c r="D58" s="457">
        <v>15526</v>
      </c>
      <c r="E58" s="457">
        <v>18700</v>
      </c>
      <c r="F58" s="457">
        <v>13481</v>
      </c>
    </row>
    <row r="59" spans="2:6">
      <c r="B59" s="463" t="s">
        <v>95</v>
      </c>
      <c r="C59" s="444" t="s">
        <v>104</v>
      </c>
      <c r="D59" s="444" t="s">
        <v>104</v>
      </c>
      <c r="E59" s="444" t="s">
        <v>104</v>
      </c>
      <c r="F59" s="444" t="s">
        <v>104</v>
      </c>
    </row>
    <row r="60" spans="2:6">
      <c r="B60" s="464" t="s">
        <v>214</v>
      </c>
      <c r="C60" s="443">
        <v>1220</v>
      </c>
      <c r="D60" s="443">
        <v>1215</v>
      </c>
      <c r="E60" s="443">
        <v>798</v>
      </c>
      <c r="F60" s="443">
        <v>537</v>
      </c>
    </row>
    <row r="61" spans="2:6">
      <c r="B61" s="464" t="s">
        <v>100</v>
      </c>
      <c r="C61" s="443">
        <v>143</v>
      </c>
      <c r="D61" s="443">
        <v>280</v>
      </c>
      <c r="E61" s="443">
        <v>593</v>
      </c>
      <c r="F61" s="443">
        <v>82</v>
      </c>
    </row>
    <row r="62" spans="2:6">
      <c r="B62" s="464" t="s">
        <v>213</v>
      </c>
      <c r="C62" s="443">
        <v>935</v>
      </c>
      <c r="D62" s="443">
        <v>111</v>
      </c>
      <c r="E62" s="443">
        <v>1374</v>
      </c>
      <c r="F62" s="443">
        <v>1297</v>
      </c>
    </row>
    <row r="63" spans="2:6">
      <c r="B63" s="464" t="s">
        <v>217</v>
      </c>
      <c r="C63" s="443">
        <v>11441</v>
      </c>
      <c r="D63" s="443">
        <v>10770</v>
      </c>
      <c r="E63" s="443">
        <v>9565</v>
      </c>
      <c r="F63" s="443">
        <v>8244</v>
      </c>
    </row>
    <row r="64" spans="2:6">
      <c r="B64" s="464" t="s">
        <v>215</v>
      </c>
      <c r="C64" s="443">
        <v>650</v>
      </c>
      <c r="D64" s="443">
        <v>1019</v>
      </c>
      <c r="E64" s="443">
        <v>1257</v>
      </c>
      <c r="F64" s="443">
        <v>1466</v>
      </c>
    </row>
    <row r="65" spans="2:6">
      <c r="B65" s="464" t="s">
        <v>104</v>
      </c>
      <c r="C65" s="457">
        <v>14389</v>
      </c>
      <c r="D65" s="457">
        <v>14394</v>
      </c>
      <c r="E65" s="457">
        <v>13587</v>
      </c>
      <c r="F65" s="457">
        <v>11626</v>
      </c>
    </row>
    <row r="66" spans="2:6">
      <c r="B66" s="464" t="s">
        <v>104</v>
      </c>
      <c r="C66" s="459" t="s">
        <v>104</v>
      </c>
      <c r="D66" s="459" t="s">
        <v>104</v>
      </c>
      <c r="E66" s="459" t="s">
        <v>104</v>
      </c>
      <c r="F66" s="459" t="s">
        <v>104</v>
      </c>
    </row>
    <row r="67" spans="2:6">
      <c r="B67" s="464" t="s">
        <v>218</v>
      </c>
      <c r="C67" s="443">
        <v>1751</v>
      </c>
      <c r="D67" s="443">
        <v>1798</v>
      </c>
      <c r="E67" s="443">
        <v>1872</v>
      </c>
      <c r="F67" s="443">
        <v>4547</v>
      </c>
    </row>
    <row r="68" spans="2:6">
      <c r="B68" s="464" t="s">
        <v>98</v>
      </c>
      <c r="C68" s="443">
        <v>9011</v>
      </c>
      <c r="D68" s="443">
        <v>10238</v>
      </c>
      <c r="E68" s="443">
        <v>11631</v>
      </c>
      <c r="F68" s="443">
        <v>10514</v>
      </c>
    </row>
    <row r="69" spans="2:6">
      <c r="B69" s="464" t="s">
        <v>219</v>
      </c>
      <c r="C69" s="443">
        <v>41931</v>
      </c>
      <c r="D69" s="443">
        <v>44938</v>
      </c>
      <c r="E69" s="443">
        <v>48396</v>
      </c>
      <c r="F69" s="443">
        <v>39984</v>
      </c>
    </row>
    <row r="70" spans="2:6">
      <c r="B70" s="464" t="s">
        <v>104</v>
      </c>
      <c r="C70" s="457">
        <v>67082</v>
      </c>
      <c r="D70" s="457">
        <v>71368</v>
      </c>
      <c r="E70" s="457">
        <v>75486</v>
      </c>
      <c r="F70" s="457">
        <v>66671</v>
      </c>
    </row>
    <row r="71" spans="2:6">
      <c r="B71" s="407" t="s">
        <v>114</v>
      </c>
      <c r="C71" s="469">
        <v>89442</v>
      </c>
      <c r="D71" s="469">
        <v>86894</v>
      </c>
      <c r="E71" s="469">
        <v>94186</v>
      </c>
      <c r="F71" s="469">
        <v>80152</v>
      </c>
    </row>
    <row r="72" spans="2:6">
      <c r="B72" s="465" t="s">
        <v>104</v>
      </c>
      <c r="C72" s="459"/>
      <c r="D72" s="459"/>
      <c r="E72" s="459"/>
      <c r="F72" s="466"/>
    </row>
    <row r="73" spans="2:6">
      <c r="B73" s="463" t="s">
        <v>220</v>
      </c>
      <c r="C73" s="460" t="s">
        <v>104</v>
      </c>
      <c r="D73" s="459" t="s">
        <v>104</v>
      </c>
      <c r="E73" s="459"/>
      <c r="F73" s="466"/>
    </row>
    <row r="74" spans="2:6">
      <c r="B74" s="464" t="s">
        <v>221</v>
      </c>
      <c r="C74" s="443">
        <v>3475</v>
      </c>
      <c r="D74" s="443">
        <v>4461</v>
      </c>
      <c r="E74" s="443">
        <v>5272</v>
      </c>
      <c r="F74" s="443">
        <v>4234</v>
      </c>
    </row>
    <row r="75" spans="2:6">
      <c r="B75" s="464" t="s">
        <v>124</v>
      </c>
      <c r="C75" s="443">
        <v>1030</v>
      </c>
      <c r="D75" s="443">
        <v>307</v>
      </c>
      <c r="E75" s="443">
        <v>824</v>
      </c>
      <c r="F75" s="443">
        <v>102</v>
      </c>
    </row>
    <row r="76" spans="2:6">
      <c r="B76" s="464" t="s">
        <v>222</v>
      </c>
      <c r="C76" s="443">
        <v>174</v>
      </c>
      <c r="D76" s="443">
        <v>182</v>
      </c>
      <c r="E76" s="443">
        <v>197</v>
      </c>
      <c r="F76" s="443">
        <v>147</v>
      </c>
    </row>
    <row r="77" spans="2:6">
      <c r="B77" s="464" t="s">
        <v>223</v>
      </c>
      <c r="C77" s="443">
        <v>2312</v>
      </c>
      <c r="D77" s="443">
        <v>1672</v>
      </c>
      <c r="E77" s="443">
        <v>1676</v>
      </c>
      <c r="F77" s="443">
        <v>1543</v>
      </c>
    </row>
    <row r="78" spans="2:6">
      <c r="B78" s="464" t="s">
        <v>224</v>
      </c>
      <c r="C78" s="443">
        <v>2177</v>
      </c>
      <c r="D78" s="443">
        <v>470</v>
      </c>
      <c r="E78" s="443">
        <v>1314</v>
      </c>
      <c r="F78" s="443">
        <v>574</v>
      </c>
    </row>
    <row r="79" spans="2:6">
      <c r="B79" s="464" t="s">
        <v>225</v>
      </c>
      <c r="C79" s="443">
        <v>324</v>
      </c>
      <c r="D79" s="443">
        <v>371</v>
      </c>
      <c r="E79" s="443">
        <v>428</v>
      </c>
      <c r="F79" s="443">
        <v>353</v>
      </c>
    </row>
    <row r="80" spans="2:6">
      <c r="B80" s="464" t="s">
        <v>226</v>
      </c>
      <c r="C80" s="443">
        <v>1156</v>
      </c>
      <c r="D80" s="443">
        <v>944</v>
      </c>
      <c r="E80" s="443">
        <v>1057</v>
      </c>
      <c r="F80" s="443">
        <v>714</v>
      </c>
    </row>
    <row r="81" spans="2:7" ht="26.1">
      <c r="B81" s="464" t="s">
        <v>227</v>
      </c>
      <c r="C81" s="443">
        <v>1785</v>
      </c>
      <c r="D81" s="443">
        <v>1911</v>
      </c>
      <c r="E81" s="443">
        <v>837</v>
      </c>
      <c r="F81" s="443">
        <v>1844</v>
      </c>
    </row>
    <row r="82" spans="2:7" ht="26.1">
      <c r="B82" s="464" t="s">
        <v>228</v>
      </c>
      <c r="C82" s="443">
        <v>621</v>
      </c>
      <c r="D82" s="443">
        <v>661</v>
      </c>
      <c r="E82" s="443">
        <v>1035</v>
      </c>
      <c r="F82" s="443">
        <v>833</v>
      </c>
    </row>
    <row r="83" spans="2:7">
      <c r="B83" s="464" t="s">
        <v>229</v>
      </c>
      <c r="C83" s="443">
        <v>93</v>
      </c>
      <c r="D83" s="443">
        <v>106</v>
      </c>
      <c r="E83" s="443">
        <v>114</v>
      </c>
      <c r="F83" s="443">
        <v>119</v>
      </c>
    </row>
    <row r="84" spans="2:7">
      <c r="B84" s="464" t="s">
        <v>230</v>
      </c>
      <c r="C84" s="443">
        <v>952</v>
      </c>
      <c r="D84" s="443">
        <v>930</v>
      </c>
      <c r="E84" s="443">
        <v>964</v>
      </c>
      <c r="F84" s="443">
        <v>1012</v>
      </c>
    </row>
    <row r="85" spans="2:7">
      <c r="B85" s="464" t="s">
        <v>231</v>
      </c>
      <c r="C85" s="461" t="s">
        <v>206</v>
      </c>
      <c r="D85" s="443">
        <v>1383</v>
      </c>
      <c r="E85" s="456" t="s">
        <v>206</v>
      </c>
      <c r="F85" s="443">
        <v>330</v>
      </c>
    </row>
    <row r="86" spans="2:7">
      <c r="B86" s="464" t="s">
        <v>215</v>
      </c>
      <c r="C86" s="443">
        <v>744</v>
      </c>
      <c r="D86" s="443">
        <v>493</v>
      </c>
      <c r="E86" s="443">
        <v>376</v>
      </c>
      <c r="F86" s="443">
        <v>367</v>
      </c>
    </row>
    <row r="87" spans="2:7">
      <c r="B87" s="464"/>
      <c r="C87" s="457">
        <v>14843</v>
      </c>
      <c r="D87" s="457">
        <v>13891</v>
      </c>
      <c r="E87" s="457">
        <v>14094</v>
      </c>
      <c r="F87" s="457">
        <v>13090</v>
      </c>
      <c r="G87" s="103"/>
    </row>
    <row r="88" spans="2:7" ht="26.1">
      <c r="B88" s="464" t="s">
        <v>232</v>
      </c>
      <c r="C88" s="443">
        <v>355</v>
      </c>
      <c r="D88" s="444" t="s">
        <v>104</v>
      </c>
      <c r="E88" s="443">
        <v>561</v>
      </c>
      <c r="F88" s="456" t="s">
        <v>206</v>
      </c>
    </row>
    <row r="89" spans="2:7">
      <c r="B89" s="467" t="s">
        <v>140</v>
      </c>
      <c r="C89" s="385">
        <v>15198</v>
      </c>
      <c r="D89" s="385">
        <v>13891</v>
      </c>
      <c r="E89" s="385">
        <v>14655</v>
      </c>
      <c r="F89" s="385">
        <v>1309</v>
      </c>
    </row>
    <row r="90" spans="2:7">
      <c r="B90" s="463" t="s">
        <v>56</v>
      </c>
      <c r="C90" s="457"/>
      <c r="D90" s="457"/>
      <c r="E90" s="457"/>
      <c r="F90" s="457"/>
    </row>
    <row r="91" spans="2:7">
      <c r="B91" s="464" t="s">
        <v>124</v>
      </c>
      <c r="C91" s="443">
        <v>11150</v>
      </c>
      <c r="D91" s="443">
        <v>10874</v>
      </c>
      <c r="E91" s="443">
        <v>11647</v>
      </c>
      <c r="F91" s="443">
        <v>13772</v>
      </c>
    </row>
    <row r="92" spans="2:7">
      <c r="B92" s="464" t="s">
        <v>222</v>
      </c>
      <c r="C92" s="443">
        <v>1428</v>
      </c>
      <c r="D92" s="443">
        <v>1349</v>
      </c>
      <c r="E92" s="443">
        <v>1255</v>
      </c>
      <c r="F92" s="443">
        <v>566</v>
      </c>
    </row>
    <row r="93" spans="2:7">
      <c r="B93" s="464" t="s">
        <v>233</v>
      </c>
      <c r="C93" s="443">
        <v>3419</v>
      </c>
      <c r="D93" s="443">
        <v>2725</v>
      </c>
      <c r="E93" s="443">
        <v>2874</v>
      </c>
      <c r="F93" s="443">
        <v>2217</v>
      </c>
    </row>
    <row r="94" spans="2:7">
      <c r="B94" s="464" t="s">
        <v>223</v>
      </c>
      <c r="C94" s="443">
        <v>2571</v>
      </c>
      <c r="D94" s="443">
        <v>2843</v>
      </c>
      <c r="E94" s="443">
        <v>3373</v>
      </c>
      <c r="F94" s="443">
        <v>2347</v>
      </c>
    </row>
    <row r="95" spans="2:7">
      <c r="B95" s="464" t="s">
        <v>225</v>
      </c>
      <c r="C95" s="443">
        <v>1964</v>
      </c>
      <c r="D95" s="443">
        <v>1869</v>
      </c>
      <c r="E95" s="443">
        <v>1723</v>
      </c>
      <c r="F95" s="443">
        <v>1007</v>
      </c>
    </row>
    <row r="96" spans="2:7">
      <c r="B96" s="464" t="s">
        <v>217</v>
      </c>
      <c r="C96" s="443">
        <v>1881</v>
      </c>
      <c r="D96" s="443">
        <v>1413</v>
      </c>
      <c r="E96" s="443">
        <v>870</v>
      </c>
      <c r="F96" s="443">
        <v>445</v>
      </c>
    </row>
    <row r="97" spans="2:6">
      <c r="B97" s="464" t="s">
        <v>226</v>
      </c>
      <c r="C97" s="443">
        <v>2381</v>
      </c>
      <c r="D97" s="443">
        <v>2368</v>
      </c>
      <c r="E97" s="443">
        <v>2003</v>
      </c>
      <c r="F97" s="443">
        <v>1256</v>
      </c>
    </row>
    <row r="98" spans="2:6" ht="26.1">
      <c r="B98" s="464" t="s">
        <v>227</v>
      </c>
      <c r="C98" s="443">
        <v>1327</v>
      </c>
      <c r="D98" s="443">
        <v>1410</v>
      </c>
      <c r="E98" s="443">
        <v>3590</v>
      </c>
      <c r="F98" s="443">
        <v>1819</v>
      </c>
    </row>
    <row r="99" spans="2:6" ht="26.1">
      <c r="B99" s="464" t="s">
        <v>228</v>
      </c>
      <c r="C99" s="443">
        <v>7482</v>
      </c>
      <c r="D99" s="443">
        <v>652</v>
      </c>
      <c r="E99" s="443">
        <v>6694</v>
      </c>
      <c r="F99" s="443">
        <v>493</v>
      </c>
    </row>
    <row r="100" spans="2:6">
      <c r="B100" s="464" t="s">
        <v>229</v>
      </c>
      <c r="C100" s="443">
        <v>1012</v>
      </c>
      <c r="D100" s="443">
        <v>1186</v>
      </c>
      <c r="E100" s="443">
        <v>885</v>
      </c>
      <c r="F100" s="443">
        <v>894</v>
      </c>
    </row>
    <row r="101" spans="2:6">
      <c r="B101" s="464" t="s">
        <v>230</v>
      </c>
      <c r="C101" s="443">
        <v>1533</v>
      </c>
      <c r="D101" s="443">
        <v>1260</v>
      </c>
      <c r="E101" s="443">
        <v>1381</v>
      </c>
      <c r="F101" s="443">
        <v>1118</v>
      </c>
    </row>
    <row r="102" spans="2:6">
      <c r="B102" s="464" t="s">
        <v>234</v>
      </c>
      <c r="C102" s="443">
        <v>1779</v>
      </c>
      <c r="D102" s="443">
        <v>1612</v>
      </c>
      <c r="E102" s="443">
        <v>1962</v>
      </c>
      <c r="F102" s="443">
        <v>1882</v>
      </c>
    </row>
    <row r="103" spans="2:6">
      <c r="B103" s="464" t="s">
        <v>215</v>
      </c>
      <c r="C103" s="443">
        <v>137</v>
      </c>
      <c r="D103" s="443">
        <v>216</v>
      </c>
      <c r="E103" s="443">
        <v>293</v>
      </c>
      <c r="F103" s="443">
        <v>281</v>
      </c>
    </row>
    <row r="104" spans="2:6">
      <c r="B104" s="464" t="s">
        <v>104</v>
      </c>
      <c r="C104" s="457">
        <v>38938</v>
      </c>
      <c r="D104" s="457">
        <v>35645</v>
      </c>
      <c r="E104" s="457">
        <v>3855</v>
      </c>
      <c r="F104" s="457">
        <v>32534</v>
      </c>
    </row>
    <row r="105" spans="2:6">
      <c r="B105" s="339" t="s">
        <v>141</v>
      </c>
      <c r="C105" s="468">
        <v>54136</v>
      </c>
      <c r="D105" s="468">
        <v>49536</v>
      </c>
      <c r="E105" s="468">
        <v>53205</v>
      </c>
      <c r="F105" s="468">
        <v>45624</v>
      </c>
    </row>
    <row r="106" spans="2:6">
      <c r="B106" s="410" t="s">
        <v>104</v>
      </c>
      <c r="C106" s="466"/>
      <c r="D106" s="459" t="s">
        <v>104</v>
      </c>
      <c r="E106" s="459" t="s">
        <v>104</v>
      </c>
      <c r="F106" s="459" t="s">
        <v>104</v>
      </c>
    </row>
    <row r="107" spans="2:6">
      <c r="B107" s="463" t="s">
        <v>47</v>
      </c>
      <c r="C107" s="466"/>
      <c r="D107" s="459" t="s">
        <v>104</v>
      </c>
      <c r="E107" s="459" t="s">
        <v>104</v>
      </c>
      <c r="F107" s="459" t="s">
        <v>104</v>
      </c>
    </row>
    <row r="108" spans="2:6">
      <c r="B108" s="464" t="s">
        <v>104</v>
      </c>
      <c r="C108" s="466"/>
      <c r="D108" s="466"/>
      <c r="E108" s="459" t="s">
        <v>104</v>
      </c>
      <c r="F108" s="459" t="s">
        <v>104</v>
      </c>
    </row>
    <row r="109" spans="2:6">
      <c r="B109" s="464" t="s">
        <v>235</v>
      </c>
      <c r="C109" s="443">
        <v>34472</v>
      </c>
      <c r="D109" s="443">
        <v>35867</v>
      </c>
      <c r="E109" s="443">
        <v>39461</v>
      </c>
      <c r="F109" s="443">
        <v>33406</v>
      </c>
    </row>
    <row r="110" spans="2:6">
      <c r="B110" s="464" t="s">
        <v>236</v>
      </c>
      <c r="C110" s="443">
        <v>834</v>
      </c>
      <c r="D110" s="443">
        <v>1491</v>
      </c>
      <c r="E110" s="443">
        <v>1520</v>
      </c>
      <c r="F110" s="443">
        <v>1122</v>
      </c>
    </row>
    <row r="111" spans="2:6">
      <c r="B111" s="434" t="s">
        <v>122</v>
      </c>
      <c r="C111" s="385">
        <v>35306</v>
      </c>
      <c r="D111" s="385">
        <v>37358</v>
      </c>
      <c r="E111" s="385">
        <v>40981</v>
      </c>
      <c r="F111" s="385">
        <v>34528</v>
      </c>
    </row>
    <row r="112" spans="2:6">
      <c r="B112" s="407" t="s">
        <v>142</v>
      </c>
      <c r="C112" s="447">
        <v>89442</v>
      </c>
      <c r="D112" s="447">
        <v>86894</v>
      </c>
      <c r="E112" s="447">
        <v>94186</v>
      </c>
      <c r="F112" s="447">
        <v>80152</v>
      </c>
    </row>
  </sheetData>
  <mergeCells count="6">
    <mergeCell ref="C44:F44"/>
    <mergeCell ref="B3:C3"/>
    <mergeCell ref="B43:C43"/>
    <mergeCell ref="B24:C24"/>
    <mergeCell ref="C4:F4"/>
    <mergeCell ref="C25:F25"/>
  </mergeCells>
  <printOptions horizontalCentered="1"/>
  <pageMargins left="0.25" right="0.25" top="0.75" bottom="0.75" header="0.3" footer="0.3"/>
  <pageSetup scale="72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77D6-2D6C-431B-9C24-DBD5C773AE9C}">
  <sheetPr>
    <tabColor theme="4" tint="0.39997558519241921"/>
    <pageSetUpPr autoPageBreaks="0" fitToPage="1"/>
  </sheetPr>
  <dimension ref="B2:O91"/>
  <sheetViews>
    <sheetView showGridLines="0" topLeftCell="G33" zoomScale="91" zoomScaleNormal="100" workbookViewId="0">
      <selection activeCell="G33" sqref="G33"/>
    </sheetView>
  </sheetViews>
  <sheetFormatPr defaultColWidth="8.85546875" defaultRowHeight="15"/>
  <cols>
    <col min="1" max="1" width="2.140625" style="15" customWidth="1"/>
    <col min="2" max="2" width="50.42578125" style="15" customWidth="1"/>
    <col min="3" max="6" width="11" style="15" customWidth="1"/>
    <col min="7" max="7" width="11.7109375" style="15" customWidth="1"/>
    <col min="8" max="8" width="53.140625" style="15" customWidth="1"/>
    <col min="9" max="12" width="11" style="15" customWidth="1"/>
    <col min="13" max="16384" width="8.85546875" style="15"/>
  </cols>
  <sheetData>
    <row r="2" spans="2:15" customFormat="1">
      <c r="B2" t="s">
        <v>192</v>
      </c>
      <c r="H2" t="s">
        <v>192</v>
      </c>
    </row>
    <row r="3" spans="2:15" ht="24.95" customHeight="1">
      <c r="B3" s="541" t="s">
        <v>0</v>
      </c>
      <c r="C3" s="541"/>
      <c r="D3" s="15" t="e" vm="7">
        <v>#VALUE!</v>
      </c>
      <c r="H3" s="541" t="s">
        <v>0</v>
      </c>
      <c r="I3" s="541"/>
      <c r="J3" s="15" t="e" vm="7">
        <v>#VALUE!</v>
      </c>
    </row>
    <row r="4" spans="2:15" s="398" customFormat="1">
      <c r="B4" s="15" t="s">
        <v>237</v>
      </c>
      <c r="C4" s="540" t="s">
        <v>180</v>
      </c>
      <c r="D4" s="540"/>
      <c r="E4" s="540"/>
      <c r="F4" s="540"/>
      <c r="H4" s="15" t="s">
        <v>238</v>
      </c>
      <c r="I4" s="540" t="s">
        <v>180</v>
      </c>
      <c r="J4" s="540"/>
      <c r="K4" s="540"/>
      <c r="L4" s="540"/>
    </row>
    <row r="5" spans="2:15" s="442" customFormat="1" ht="18.95">
      <c r="B5" s="471"/>
      <c r="C5" s="471">
        <v>2021</v>
      </c>
      <c r="D5" s="471">
        <v>2022</v>
      </c>
      <c r="E5" s="471">
        <v>2023</v>
      </c>
      <c r="F5" s="471">
        <v>2024</v>
      </c>
      <c r="G5" s="489"/>
      <c r="H5" s="471"/>
      <c r="I5" s="471">
        <v>2021</v>
      </c>
      <c r="J5" s="471">
        <v>2022</v>
      </c>
      <c r="K5" s="471">
        <v>2023</v>
      </c>
      <c r="L5" s="471">
        <v>2024</v>
      </c>
      <c r="M5" s="489"/>
      <c r="N5" s="473" t="s">
        <v>239</v>
      </c>
      <c r="O5" s="474"/>
    </row>
    <row r="6" spans="2:15" s="398" customFormat="1">
      <c r="B6" s="49" t="s">
        <v>240</v>
      </c>
      <c r="C6" s="75">
        <v>214580</v>
      </c>
      <c r="D6" s="75">
        <v>164104</v>
      </c>
      <c r="E6" s="75">
        <v>124604</v>
      </c>
      <c r="F6" s="75">
        <v>109007</v>
      </c>
      <c r="G6" s="401"/>
      <c r="H6" s="49" t="s">
        <v>240</v>
      </c>
      <c r="I6" s="75">
        <f t="shared" ref="I6:I23" si="0">C6/$O$16</f>
        <v>13933.766233766233</v>
      </c>
      <c r="J6" s="75">
        <f t="shared" ref="J6:J11" si="1">D6/$O$15</f>
        <v>10782.128777923785</v>
      </c>
      <c r="K6" s="75">
        <f t="shared" ref="K6:K11" si="2">E6/$O$14</f>
        <v>7012.0427687113115</v>
      </c>
      <c r="L6" s="75">
        <f t="shared" ref="L6:L11" si="3">F6/$O$13</f>
        <v>5826.135756280064</v>
      </c>
      <c r="N6" s="436" t="s">
        <v>241</v>
      </c>
      <c r="O6" s="437"/>
    </row>
    <row r="7" spans="2:15" s="398" customFormat="1">
      <c r="B7" s="49" t="s">
        <v>242</v>
      </c>
      <c r="C7" s="75">
        <v>-12</v>
      </c>
      <c r="D7" s="75">
        <v>-14</v>
      </c>
      <c r="E7" s="75">
        <v>-21</v>
      </c>
      <c r="F7" s="75">
        <v>-20</v>
      </c>
      <c r="G7" s="401"/>
      <c r="H7" s="49" t="s">
        <v>242</v>
      </c>
      <c r="I7" s="75">
        <f t="shared" si="0"/>
        <v>-0.77922077922077926</v>
      </c>
      <c r="J7" s="75">
        <f t="shared" si="1"/>
        <v>-0.91984231274638628</v>
      </c>
      <c r="K7" s="75">
        <f t="shared" si="2"/>
        <v>-1.1817670230725943</v>
      </c>
      <c r="L7" s="75">
        <f t="shared" si="3"/>
        <v>-1.0689470871191875</v>
      </c>
      <c r="N7" s="436">
        <v>2024</v>
      </c>
      <c r="O7" s="438">
        <v>18.190000000000001</v>
      </c>
    </row>
    <row r="8" spans="2:15" s="398" customFormat="1">
      <c r="B8" s="88" t="s">
        <v>75</v>
      </c>
      <c r="C8" s="93">
        <v>214568</v>
      </c>
      <c r="D8" s="93">
        <v>164090</v>
      </c>
      <c r="E8" s="93">
        <v>124583</v>
      </c>
      <c r="F8" s="93">
        <v>108987</v>
      </c>
      <c r="G8" s="401"/>
      <c r="H8" s="88" t="s">
        <v>75</v>
      </c>
      <c r="I8" s="93">
        <f t="shared" si="0"/>
        <v>13932.987012987012</v>
      </c>
      <c r="J8" s="93">
        <f t="shared" si="1"/>
        <v>10781.208935611037</v>
      </c>
      <c r="K8" s="93">
        <f t="shared" si="2"/>
        <v>7010.8610016882385</v>
      </c>
      <c r="L8" s="93">
        <f t="shared" si="3"/>
        <v>5825.0668091929447</v>
      </c>
      <c r="N8" s="436">
        <v>2023</v>
      </c>
      <c r="O8" s="438">
        <v>18.850000000000001</v>
      </c>
    </row>
    <row r="9" spans="2:15" s="398" customFormat="1">
      <c r="B9" s="49" t="s">
        <v>243</v>
      </c>
      <c r="C9" s="75">
        <v>-109456</v>
      </c>
      <c r="D9" s="75">
        <v>-93578</v>
      </c>
      <c r="E9" s="75">
        <v>-103570</v>
      </c>
      <c r="F9" s="75">
        <v>-90769</v>
      </c>
      <c r="G9" s="401"/>
      <c r="H9" s="49" t="s">
        <v>243</v>
      </c>
      <c r="I9" s="75">
        <f t="shared" si="0"/>
        <v>-7107.5324675324673</v>
      </c>
      <c r="J9" s="75">
        <f t="shared" si="1"/>
        <v>-6148.357424441524</v>
      </c>
      <c r="K9" s="75">
        <f t="shared" si="2"/>
        <v>-5828.3624085537422</v>
      </c>
      <c r="L9" s="75">
        <f t="shared" si="3"/>
        <v>-4851.3629075360768</v>
      </c>
      <c r="N9" s="436">
        <v>2022</v>
      </c>
      <c r="O9" s="437">
        <v>16.27</v>
      </c>
    </row>
    <row r="10" spans="2:15" s="398" customFormat="1">
      <c r="B10" s="88" t="s">
        <v>79</v>
      </c>
      <c r="C10" s="93">
        <v>105112</v>
      </c>
      <c r="D10" s="93">
        <v>70512</v>
      </c>
      <c r="E10" s="93">
        <v>21013</v>
      </c>
      <c r="F10" s="93">
        <v>18218</v>
      </c>
      <c r="G10" s="401"/>
      <c r="H10" s="88" t="s">
        <v>79</v>
      </c>
      <c r="I10" s="93">
        <f t="shared" si="0"/>
        <v>6825.454545454545</v>
      </c>
      <c r="J10" s="93">
        <f t="shared" si="1"/>
        <v>4632.8515111695133</v>
      </c>
      <c r="K10" s="93">
        <f t="shared" si="2"/>
        <v>1182.4985931344963</v>
      </c>
      <c r="L10" s="93">
        <f t="shared" si="3"/>
        <v>973.70390165686797</v>
      </c>
      <c r="N10" s="436">
        <v>2021</v>
      </c>
      <c r="O10" s="437">
        <v>14.32</v>
      </c>
    </row>
    <row r="11" spans="2:15" s="398" customFormat="1">
      <c r="B11" s="49" t="s">
        <v>244</v>
      </c>
      <c r="C11" s="75">
        <v>713</v>
      </c>
      <c r="D11" s="75">
        <v>972</v>
      </c>
      <c r="E11" s="75">
        <v>1198</v>
      </c>
      <c r="F11" s="75">
        <v>984</v>
      </c>
      <c r="G11" s="401"/>
      <c r="H11" s="49" t="s">
        <v>244</v>
      </c>
      <c r="I11" s="75">
        <f t="shared" si="0"/>
        <v>46.298701298701296</v>
      </c>
      <c r="J11" s="75">
        <f t="shared" si="1"/>
        <v>63.863337713534818</v>
      </c>
      <c r="K11" s="75">
        <f t="shared" si="2"/>
        <v>67.416994935284194</v>
      </c>
      <c r="L11" s="75">
        <f t="shared" si="3"/>
        <v>52.592196686264025</v>
      </c>
      <c r="N11" s="436"/>
      <c r="O11" s="437"/>
    </row>
    <row r="12" spans="2:15" s="398" customFormat="1">
      <c r="B12" s="49" t="s">
        <v>245</v>
      </c>
      <c r="C12" s="75">
        <v>14</v>
      </c>
      <c r="D12" s="75" t="s">
        <v>246</v>
      </c>
      <c r="E12" s="75" t="s">
        <v>246</v>
      </c>
      <c r="F12" s="75" t="s">
        <v>246</v>
      </c>
      <c r="G12" s="401"/>
      <c r="H12" s="49" t="s">
        <v>245</v>
      </c>
      <c r="I12" s="75">
        <f t="shared" si="0"/>
        <v>0.90909090909090906</v>
      </c>
      <c r="J12" s="75" t="s">
        <v>246</v>
      </c>
      <c r="K12" s="75" t="s">
        <v>246</v>
      </c>
      <c r="L12" s="75" t="s">
        <v>246</v>
      </c>
      <c r="N12" s="439" t="s">
        <v>247</v>
      </c>
      <c r="O12" s="437"/>
    </row>
    <row r="13" spans="2:15" s="398" customFormat="1">
      <c r="B13" s="49" t="s">
        <v>248</v>
      </c>
      <c r="C13" s="75">
        <v>2447</v>
      </c>
      <c r="D13" s="75">
        <v>896</v>
      </c>
      <c r="E13" s="75">
        <v>121</v>
      </c>
      <c r="F13" s="75">
        <v>42</v>
      </c>
      <c r="G13" s="401"/>
      <c r="H13" s="49" t="s">
        <v>248</v>
      </c>
      <c r="I13" s="75">
        <f t="shared" si="0"/>
        <v>158.89610389610388</v>
      </c>
      <c r="J13" s="75">
        <f t="shared" ref="J13:J23" si="4">D13/$O$15</f>
        <v>58.869908015768722</v>
      </c>
      <c r="K13" s="75">
        <f t="shared" ref="K13:K23" si="5">E13/$O$14</f>
        <v>6.8092290377039957</v>
      </c>
      <c r="L13" s="75">
        <f t="shared" ref="L13:L23" si="6">F13/$O$13</f>
        <v>2.244788882950294</v>
      </c>
      <c r="N13" s="436">
        <v>2024</v>
      </c>
      <c r="O13" s="437">
        <v>18.71</v>
      </c>
    </row>
    <row r="14" spans="2:15" s="398" customFormat="1">
      <c r="B14" s="49" t="s">
        <v>249</v>
      </c>
      <c r="C14" s="75">
        <v>-125</v>
      </c>
      <c r="D14" s="75">
        <v>195</v>
      </c>
      <c r="E14" s="75">
        <v>-17</v>
      </c>
      <c r="F14" s="75">
        <v>-30</v>
      </c>
      <c r="G14" s="401"/>
      <c r="H14" s="49" t="s">
        <v>249</v>
      </c>
      <c r="I14" s="75">
        <f t="shared" si="0"/>
        <v>-8.1168831168831161</v>
      </c>
      <c r="J14" s="75">
        <f t="shared" si="4"/>
        <v>12.812089356110381</v>
      </c>
      <c r="K14" s="75">
        <f t="shared" si="5"/>
        <v>-0.95666854248733824</v>
      </c>
      <c r="L14" s="75">
        <f t="shared" si="6"/>
        <v>-1.6034206306787813</v>
      </c>
      <c r="N14" s="436">
        <v>2023</v>
      </c>
      <c r="O14" s="437">
        <v>17.77</v>
      </c>
    </row>
    <row r="15" spans="2:15" s="398" customFormat="1" ht="26.1">
      <c r="B15" s="49" t="s">
        <v>250</v>
      </c>
      <c r="C15" s="75">
        <v>4494</v>
      </c>
      <c r="D15" s="75">
        <v>-2384</v>
      </c>
      <c r="E15" s="75">
        <v>607</v>
      </c>
      <c r="F15" s="75">
        <v>-276</v>
      </c>
      <c r="G15" s="401"/>
      <c r="H15" s="49" t="s">
        <v>250</v>
      </c>
      <c r="I15" s="75">
        <f t="shared" si="0"/>
        <v>291.81818181818181</v>
      </c>
      <c r="J15" s="75">
        <f t="shared" si="4"/>
        <v>-156.63600525624179</v>
      </c>
      <c r="K15" s="75">
        <f t="shared" si="5"/>
        <v>34.158694428812609</v>
      </c>
      <c r="L15" s="75">
        <f t="shared" si="6"/>
        <v>-14.751469802244788</v>
      </c>
      <c r="N15" s="436">
        <v>2022</v>
      </c>
      <c r="O15" s="437">
        <v>15.22</v>
      </c>
    </row>
    <row r="16" spans="2:15" s="398" customFormat="1">
      <c r="B16" s="49" t="s">
        <v>251</v>
      </c>
      <c r="C16" s="75">
        <v>-357</v>
      </c>
      <c r="D16" s="75">
        <v>-382</v>
      </c>
      <c r="E16" s="75">
        <v>-645</v>
      </c>
      <c r="F16" s="75">
        <v>-1142</v>
      </c>
      <c r="G16" s="401"/>
      <c r="H16" s="49" t="s">
        <v>251</v>
      </c>
      <c r="I16" s="75">
        <f t="shared" si="0"/>
        <v>-23.18181818181818</v>
      </c>
      <c r="J16" s="75">
        <f t="shared" si="4"/>
        <v>-25.09855453350854</v>
      </c>
      <c r="K16" s="75">
        <f t="shared" si="5"/>
        <v>-36.29712999437254</v>
      </c>
      <c r="L16" s="75">
        <f t="shared" si="6"/>
        <v>-61.036878674505608</v>
      </c>
      <c r="N16" s="440">
        <v>2021</v>
      </c>
      <c r="O16" s="441">
        <v>15.4</v>
      </c>
    </row>
    <row r="17" spans="2:12" s="398" customFormat="1" ht="26.1">
      <c r="B17" s="49" t="s">
        <v>252</v>
      </c>
      <c r="C17" s="75">
        <v>952</v>
      </c>
      <c r="D17" s="75">
        <v>-227</v>
      </c>
      <c r="E17" s="75">
        <v>219</v>
      </c>
      <c r="F17" s="75">
        <v>-1296</v>
      </c>
      <c r="G17" s="401"/>
      <c r="H17" s="49" t="s">
        <v>252</v>
      </c>
      <c r="I17" s="75">
        <f t="shared" si="0"/>
        <v>61.81818181818182</v>
      </c>
      <c r="J17" s="75">
        <f t="shared" si="4"/>
        <v>-14.914586070959263</v>
      </c>
      <c r="K17" s="75">
        <f t="shared" si="5"/>
        <v>12.324141812042768</v>
      </c>
      <c r="L17" s="75">
        <f t="shared" si="6"/>
        <v>-69.26777124532336</v>
      </c>
    </row>
    <row r="18" spans="2:12" s="398" customFormat="1">
      <c r="B18" s="49" t="s">
        <v>253</v>
      </c>
      <c r="C18" s="75">
        <v>-966</v>
      </c>
      <c r="D18" s="75">
        <v>-1342</v>
      </c>
      <c r="E18" s="75">
        <v>-1800</v>
      </c>
      <c r="F18" s="75">
        <v>-1343</v>
      </c>
      <c r="G18" s="401"/>
      <c r="H18" s="49" t="s">
        <v>253</v>
      </c>
      <c r="I18" s="75">
        <f t="shared" si="0"/>
        <v>-62.727272727272727</v>
      </c>
      <c r="J18" s="75">
        <f t="shared" si="4"/>
        <v>-88.173455978975028</v>
      </c>
      <c r="K18" s="75">
        <f t="shared" si="5"/>
        <v>-101.29431626336522</v>
      </c>
      <c r="L18" s="75">
        <f t="shared" si="6"/>
        <v>-71.779796900053441</v>
      </c>
    </row>
    <row r="19" spans="2:12">
      <c r="B19" s="49" t="s">
        <v>254</v>
      </c>
      <c r="C19" s="75">
        <v>-27</v>
      </c>
      <c r="D19" s="75">
        <v>-456</v>
      </c>
      <c r="E19" s="75">
        <v>-177</v>
      </c>
      <c r="F19" s="75">
        <v>-1868</v>
      </c>
      <c r="G19" s="427"/>
      <c r="H19" s="49" t="s">
        <v>254</v>
      </c>
      <c r="I19" s="75">
        <f t="shared" si="0"/>
        <v>-1.7532467532467533</v>
      </c>
      <c r="J19" s="75">
        <f t="shared" si="4"/>
        <v>-29.960578186596582</v>
      </c>
      <c r="K19" s="75">
        <f t="shared" si="5"/>
        <v>-9.9606077658975796</v>
      </c>
      <c r="L19" s="75">
        <f t="shared" si="6"/>
        <v>-99.839657936932113</v>
      </c>
    </row>
    <row r="20" spans="2:12">
      <c r="B20" s="49" t="s">
        <v>255</v>
      </c>
      <c r="C20" s="75">
        <v>-3946</v>
      </c>
      <c r="D20" s="75">
        <v>-1016</v>
      </c>
      <c r="E20" s="75">
        <v>-2410</v>
      </c>
      <c r="F20" s="75">
        <v>-3610</v>
      </c>
      <c r="G20" s="427"/>
      <c r="H20" s="49" t="s">
        <v>255</v>
      </c>
      <c r="I20" s="75">
        <f t="shared" si="0"/>
        <v>-256.23376623376623</v>
      </c>
      <c r="J20" s="75">
        <f t="shared" si="4"/>
        <v>-66.754270696452039</v>
      </c>
      <c r="K20" s="75">
        <f t="shared" si="5"/>
        <v>-135.62183455261678</v>
      </c>
      <c r="L20" s="75">
        <f t="shared" si="6"/>
        <v>-192.94494922501335</v>
      </c>
    </row>
    <row r="21" spans="2:12">
      <c r="B21" s="88" t="s">
        <v>90</v>
      </c>
      <c r="C21" s="93">
        <v>108311</v>
      </c>
      <c r="D21" s="93">
        <v>66768</v>
      </c>
      <c r="E21" s="93">
        <v>18109</v>
      </c>
      <c r="F21" s="93">
        <v>9679</v>
      </c>
      <c r="G21" s="427"/>
      <c r="H21" s="88" t="s">
        <v>90</v>
      </c>
      <c r="I21" s="93">
        <f t="shared" si="0"/>
        <v>7033.181818181818</v>
      </c>
      <c r="J21" s="93">
        <f t="shared" si="4"/>
        <v>4386.859395532194</v>
      </c>
      <c r="K21" s="93">
        <f t="shared" si="5"/>
        <v>1019.0770962296004</v>
      </c>
      <c r="L21" s="93">
        <f t="shared" si="6"/>
        <v>517.31694281133082</v>
      </c>
    </row>
    <row r="22" spans="2:12">
      <c r="B22" s="49" t="s">
        <v>91</v>
      </c>
      <c r="C22" s="75">
        <v>-29290</v>
      </c>
      <c r="D22" s="75">
        <v>-17472</v>
      </c>
      <c r="E22" s="75">
        <v>-4663</v>
      </c>
      <c r="F22" s="75">
        <v>-2286</v>
      </c>
      <c r="G22" s="427"/>
      <c r="H22" s="49" t="s">
        <v>91</v>
      </c>
      <c r="I22" s="75">
        <f t="shared" si="0"/>
        <v>-1901.9480519480519</v>
      </c>
      <c r="J22" s="75">
        <f t="shared" si="4"/>
        <v>-1147.9632063074901</v>
      </c>
      <c r="K22" s="75">
        <f t="shared" si="5"/>
        <v>-262.40855374226226</v>
      </c>
      <c r="L22" s="75">
        <f t="shared" si="6"/>
        <v>-122.18065205772314</v>
      </c>
    </row>
    <row r="23" spans="2:12">
      <c r="B23" s="403" t="s">
        <v>92</v>
      </c>
      <c r="C23" s="428">
        <v>79021</v>
      </c>
      <c r="D23" s="428">
        <v>49296</v>
      </c>
      <c r="E23" s="428">
        <v>13446</v>
      </c>
      <c r="F23" s="428">
        <v>7393</v>
      </c>
      <c r="G23" s="427"/>
      <c r="H23" s="403" t="s">
        <v>92</v>
      </c>
      <c r="I23" s="428">
        <f t="shared" si="0"/>
        <v>5131.2337662337659</v>
      </c>
      <c r="J23" s="428">
        <f t="shared" si="4"/>
        <v>3238.8961892247044</v>
      </c>
      <c r="K23" s="428">
        <f t="shared" si="5"/>
        <v>756.66854248733819</v>
      </c>
      <c r="L23" s="428">
        <f t="shared" si="6"/>
        <v>395.13629075360768</v>
      </c>
    </row>
    <row r="25" spans="2:12" customFormat="1">
      <c r="B25" t="s">
        <v>192</v>
      </c>
      <c r="H25" t="s">
        <v>192</v>
      </c>
    </row>
    <row r="26" spans="2:12" ht="24.95" customHeight="1">
      <c r="B26" s="542" t="s">
        <v>181</v>
      </c>
      <c r="C26" s="542"/>
      <c r="D26" s="15" t="e" vm="7">
        <v>#VALUE!</v>
      </c>
      <c r="E26" s="406"/>
      <c r="H26" s="542" t="s">
        <v>181</v>
      </c>
      <c r="I26" s="542"/>
      <c r="J26" s="15" t="e" vm="7">
        <v>#VALUE!</v>
      </c>
      <c r="K26" s="406"/>
    </row>
    <row r="27" spans="2:12">
      <c r="B27" s="15" t="s">
        <v>237</v>
      </c>
      <c r="C27" s="540" t="s">
        <v>180</v>
      </c>
      <c r="D27" s="540"/>
      <c r="E27" s="540"/>
      <c r="F27" s="540"/>
      <c r="H27" s="15" t="s">
        <v>238</v>
      </c>
      <c r="I27" s="540" t="s">
        <v>180</v>
      </c>
      <c r="J27" s="540"/>
      <c r="K27" s="540"/>
      <c r="L27" s="540"/>
    </row>
    <row r="28" spans="2:12" s="475" customFormat="1" ht="14.1">
      <c r="B28" s="471"/>
      <c r="C28" s="471">
        <v>2021</v>
      </c>
      <c r="D28" s="471">
        <v>2022</v>
      </c>
      <c r="E28" s="471">
        <v>2023</v>
      </c>
      <c r="F28" s="471">
        <v>2024</v>
      </c>
      <c r="H28" s="471"/>
      <c r="I28" s="471">
        <v>2021</v>
      </c>
      <c r="J28" s="471">
        <v>2022</v>
      </c>
      <c r="K28" s="471">
        <v>2023</v>
      </c>
      <c r="L28" s="471">
        <v>2024</v>
      </c>
    </row>
    <row r="29" spans="2:12" s="57" customFormat="1" ht="12.95">
      <c r="B29" s="88" t="s">
        <v>92</v>
      </c>
      <c r="C29" s="93">
        <v>79021</v>
      </c>
      <c r="D29" s="93">
        <v>49296</v>
      </c>
      <c r="E29" s="93">
        <v>13446</v>
      </c>
      <c r="F29" s="93">
        <v>7393</v>
      </c>
      <c r="H29" s="88" t="s">
        <v>92</v>
      </c>
      <c r="I29" s="93">
        <f>C29/$O$16</f>
        <v>5131.2337662337659</v>
      </c>
      <c r="J29" s="93">
        <f>D29/$O$15</f>
        <v>3238.8961892247044</v>
      </c>
      <c r="K29" s="93">
        <f>E29/$O$14</f>
        <v>756.66854248733819</v>
      </c>
      <c r="L29" s="93">
        <f>F29/$O$13</f>
        <v>395.13629075360768</v>
      </c>
    </row>
    <row r="30" spans="2:12" s="57" customFormat="1" ht="34.5" customHeight="1">
      <c r="B30" s="48" t="s">
        <v>183</v>
      </c>
      <c r="C30" s="94">
        <v>712</v>
      </c>
      <c r="D30" s="94">
        <v>792</v>
      </c>
      <c r="E30" s="94">
        <v>2206</v>
      </c>
      <c r="F30" s="94">
        <v>308</v>
      </c>
      <c r="H30" s="48" t="s">
        <v>183</v>
      </c>
      <c r="I30" s="94">
        <f>C30/$O$16</f>
        <v>46.233766233766232</v>
      </c>
      <c r="J30" s="94">
        <f>D30/$O$15</f>
        <v>52.036793692509853</v>
      </c>
      <c r="K30" s="94">
        <f>E30/$O$14</f>
        <v>124.14181204276872</v>
      </c>
      <c r="L30" s="94">
        <f>F30/$O$13</f>
        <v>16.461785141635488</v>
      </c>
    </row>
    <row r="31" spans="2:12" s="57" customFormat="1" ht="12.95">
      <c r="B31" s="49" t="s">
        <v>256</v>
      </c>
      <c r="C31" s="75">
        <v>712</v>
      </c>
      <c r="D31" s="75">
        <v>792</v>
      </c>
      <c r="E31" s="75">
        <v>2206</v>
      </c>
      <c r="F31" s="75">
        <v>308</v>
      </c>
      <c r="H31" s="49" t="s">
        <v>256</v>
      </c>
      <c r="I31" s="75">
        <f>C31/$O$16</f>
        <v>46.233766233766232</v>
      </c>
      <c r="J31" s="75">
        <f>D31/$O$15</f>
        <v>52.036793692509853</v>
      </c>
      <c r="K31" s="75">
        <f>E31/$O$14</f>
        <v>124.14181204276872</v>
      </c>
      <c r="L31" s="75">
        <f>F31/$O$13</f>
        <v>16.461785141635488</v>
      </c>
    </row>
    <row r="32" spans="2:12" s="57" customFormat="1" ht="26.1">
      <c r="B32" s="48" t="s">
        <v>186</v>
      </c>
      <c r="C32" s="94">
        <v>-258</v>
      </c>
      <c r="D32" s="94">
        <v>-866</v>
      </c>
      <c r="E32" s="94">
        <v>-398</v>
      </c>
      <c r="F32" s="94">
        <v>-154</v>
      </c>
      <c r="H32" s="48" t="s">
        <v>186</v>
      </c>
      <c r="I32" s="94">
        <f>C32/$O$16</f>
        <v>-16.753246753246753</v>
      </c>
      <c r="J32" s="94">
        <f>D32/$O$15</f>
        <v>-56.898817345597898</v>
      </c>
      <c r="K32" s="94">
        <f>E32/$O$14</f>
        <v>-22.397298818232976</v>
      </c>
      <c r="L32" s="94">
        <f>F32/$O$13</f>
        <v>-8.2308925708177441</v>
      </c>
    </row>
    <row r="33" spans="2:12" s="57" customFormat="1" ht="39">
      <c r="B33" s="49" t="s">
        <v>257</v>
      </c>
      <c r="C33" s="75" t="s">
        <v>104</v>
      </c>
      <c r="D33" s="75" t="s">
        <v>104</v>
      </c>
      <c r="E33" s="75" t="s">
        <v>104</v>
      </c>
      <c r="F33" s="75" t="s">
        <v>104</v>
      </c>
      <c r="H33" s="49" t="s">
        <v>257</v>
      </c>
      <c r="I33" s="75"/>
      <c r="J33" s="75"/>
      <c r="K33" s="75"/>
      <c r="L33" s="75"/>
    </row>
    <row r="34" spans="2:12" s="57" customFormat="1" ht="12.95">
      <c r="B34" s="49" t="s">
        <v>258</v>
      </c>
      <c r="C34" s="75">
        <v>-355</v>
      </c>
      <c r="D34" s="75">
        <v>-913</v>
      </c>
      <c r="E34" s="75">
        <v>-416</v>
      </c>
      <c r="F34" s="75">
        <v>-201</v>
      </c>
      <c r="H34" s="49" t="s">
        <v>258</v>
      </c>
      <c r="I34" s="75">
        <f>C34/$O$16</f>
        <v>-23.051948051948052</v>
      </c>
      <c r="J34" s="75">
        <f>D34/$O$15</f>
        <v>-59.986859395532193</v>
      </c>
      <c r="K34" s="75">
        <f>E34/$O$14</f>
        <v>-23.41024198086663</v>
      </c>
      <c r="L34" s="75">
        <f>F34/$O$13</f>
        <v>-10.742918225547834</v>
      </c>
    </row>
    <row r="35" spans="2:12" s="57" customFormat="1" ht="12.95">
      <c r="B35" s="49" t="s">
        <v>259</v>
      </c>
      <c r="C35" s="75">
        <v>97</v>
      </c>
      <c r="D35" s="75">
        <v>47</v>
      </c>
      <c r="E35" s="75">
        <v>18</v>
      </c>
      <c r="F35" s="75">
        <v>47</v>
      </c>
      <c r="H35" s="49" t="s">
        <v>259</v>
      </c>
      <c r="I35" s="75">
        <f>C35/$O$16</f>
        <v>6.2987012987012987</v>
      </c>
      <c r="J35" s="75">
        <f>D35/$O$15</f>
        <v>3.0880420499342969</v>
      </c>
      <c r="K35" s="75">
        <f>E35/$O$14</f>
        <v>1.0129431626336522</v>
      </c>
      <c r="L35" s="75">
        <f>F35/$O$13</f>
        <v>2.5120256547300905</v>
      </c>
    </row>
    <row r="36" spans="2:12" s="57" customFormat="1" ht="26.1">
      <c r="B36" s="88" t="s">
        <v>187</v>
      </c>
      <c r="C36" s="93">
        <v>454</v>
      </c>
      <c r="D36" s="93">
        <v>-74</v>
      </c>
      <c r="E36" s="93">
        <v>1808</v>
      </c>
      <c r="F36" s="93">
        <v>154</v>
      </c>
      <c r="H36" s="88" t="s">
        <v>187</v>
      </c>
      <c r="I36" s="93">
        <f>C36/$O$16</f>
        <v>29.480519480519479</v>
      </c>
      <c r="J36" s="93">
        <f>D36/$O$15</f>
        <v>-4.8620236530880421</v>
      </c>
      <c r="K36" s="93">
        <f>E36/$O$14</f>
        <v>101.74451322453574</v>
      </c>
      <c r="L36" s="93">
        <f>F36/$O$13</f>
        <v>8.2308925708177441</v>
      </c>
    </row>
    <row r="37" spans="2:12" s="57" customFormat="1" ht="12.95">
      <c r="B37" s="407" t="s">
        <v>260</v>
      </c>
      <c r="C37" s="429">
        <v>79475</v>
      </c>
      <c r="D37" s="429">
        <v>49222</v>
      </c>
      <c r="E37" s="429">
        <v>15254</v>
      </c>
      <c r="F37" s="429">
        <v>7547</v>
      </c>
      <c r="H37" s="407" t="s">
        <v>260</v>
      </c>
      <c r="I37" s="429">
        <f>C37/$O$16</f>
        <v>5160.7142857142853</v>
      </c>
      <c r="J37" s="429">
        <f>D37/$O$15</f>
        <v>3234.0341655716161</v>
      </c>
      <c r="K37" s="429">
        <f>E37/$O$14</f>
        <v>858.41305571187399</v>
      </c>
      <c r="L37" s="429">
        <f>F37/$O$13</f>
        <v>403.36718332442541</v>
      </c>
    </row>
    <row r="39" spans="2:12" customFormat="1">
      <c r="B39" t="s">
        <v>192</v>
      </c>
      <c r="H39" t="s">
        <v>192</v>
      </c>
    </row>
    <row r="40" spans="2:12" ht="24.95" customHeight="1">
      <c r="B40" s="542" t="s">
        <v>93</v>
      </c>
      <c r="C40" s="542"/>
      <c r="D40" s="542"/>
      <c r="E40" s="15" t="e" vm="7">
        <v>#VALUE!</v>
      </c>
      <c r="F40" s="409"/>
      <c r="H40" s="542" t="s">
        <v>93</v>
      </c>
      <c r="I40" s="542"/>
      <c r="J40" s="15" t="e" vm="7">
        <v>#VALUE!</v>
      </c>
      <c r="K40" s="430"/>
      <c r="L40" s="409"/>
    </row>
    <row r="41" spans="2:12">
      <c r="B41" s="15" t="s">
        <v>237</v>
      </c>
      <c r="C41" s="540" t="s">
        <v>180</v>
      </c>
      <c r="D41" s="540"/>
      <c r="E41" s="540"/>
      <c r="F41" s="540"/>
      <c r="H41" s="15" t="s">
        <v>261</v>
      </c>
      <c r="I41" s="540" t="s">
        <v>180</v>
      </c>
      <c r="J41" s="540"/>
      <c r="K41" s="540"/>
      <c r="L41" s="540"/>
    </row>
    <row r="42" spans="2:12" s="475" customFormat="1" ht="14.1">
      <c r="B42" s="471"/>
      <c r="C42" s="471">
        <v>2021</v>
      </c>
      <c r="D42" s="471">
        <v>2022</v>
      </c>
      <c r="E42" s="471">
        <v>2023</v>
      </c>
      <c r="F42" s="471">
        <v>2024</v>
      </c>
      <c r="H42" s="471"/>
      <c r="I42" s="471">
        <v>2021</v>
      </c>
      <c r="J42" s="471">
        <v>2022</v>
      </c>
      <c r="K42" s="471">
        <v>2023</v>
      </c>
      <c r="L42" s="471">
        <v>2024</v>
      </c>
    </row>
    <row r="43" spans="2:12" s="57" customFormat="1" ht="12.95">
      <c r="B43" s="48" t="s">
        <v>94</v>
      </c>
      <c r="C43" s="392" t="s">
        <v>104</v>
      </c>
      <c r="D43" s="392" t="s">
        <v>104</v>
      </c>
      <c r="E43" s="392" t="s">
        <v>104</v>
      </c>
      <c r="F43" s="392" t="s">
        <v>104</v>
      </c>
      <c r="H43" s="48" t="s">
        <v>94</v>
      </c>
      <c r="I43" s="392" t="s">
        <v>104</v>
      </c>
      <c r="J43" s="392" t="s">
        <v>104</v>
      </c>
      <c r="K43" s="392" t="s">
        <v>104</v>
      </c>
      <c r="L43" s="392" t="s">
        <v>104</v>
      </c>
    </row>
    <row r="44" spans="2:12" s="57" customFormat="1" ht="12.95">
      <c r="B44" s="48" t="s">
        <v>95</v>
      </c>
      <c r="C44" s="48"/>
      <c r="D44" s="48"/>
      <c r="E44" s="48"/>
      <c r="F44" s="48"/>
      <c r="H44" s="48" t="s">
        <v>95</v>
      </c>
      <c r="I44" s="48"/>
      <c r="J44" s="48"/>
      <c r="K44" s="48"/>
      <c r="L44" s="48"/>
    </row>
    <row r="45" spans="2:12" s="57" customFormat="1" ht="12.95">
      <c r="B45" s="49" t="s">
        <v>96</v>
      </c>
      <c r="C45" s="49">
        <v>52167</v>
      </c>
      <c r="D45" s="49">
        <v>59225</v>
      </c>
      <c r="E45" s="49">
        <v>68063</v>
      </c>
      <c r="F45" s="49">
        <v>76262</v>
      </c>
      <c r="H45" s="49" t="s">
        <v>96</v>
      </c>
      <c r="I45" s="411">
        <f t="shared" ref="I45:I51" si="7">C45/$O$10</f>
        <v>3642.9469273743016</v>
      </c>
      <c r="J45" s="411">
        <f t="shared" ref="J45:J63" si="8">D45/$O$9</f>
        <v>3640.1352181929933</v>
      </c>
      <c r="K45" s="411">
        <f t="shared" ref="K45:K63" si="9">E45/$O$8</f>
        <v>3610.7692307692305</v>
      </c>
      <c r="L45" s="411">
        <f t="shared" ref="L45:L52" si="10">F45/$O$7</f>
        <v>4192.5233644859809</v>
      </c>
    </row>
    <row r="46" spans="2:12" s="57" customFormat="1" ht="12.95">
      <c r="B46" s="49" t="s">
        <v>262</v>
      </c>
      <c r="C46" s="49">
        <v>14319</v>
      </c>
      <c r="D46" s="49">
        <v>19940</v>
      </c>
      <c r="E46" s="49">
        <v>24435</v>
      </c>
      <c r="F46" s="49">
        <v>25954</v>
      </c>
      <c r="H46" s="49" t="s">
        <v>262</v>
      </c>
      <c r="I46" s="411">
        <f t="shared" si="7"/>
        <v>999.93016759776538</v>
      </c>
      <c r="J46" s="411">
        <f t="shared" si="8"/>
        <v>1225.5685310387216</v>
      </c>
      <c r="K46" s="411">
        <f t="shared" si="9"/>
        <v>1296.286472148541</v>
      </c>
      <c r="L46" s="411">
        <f t="shared" si="10"/>
        <v>1426.8279274326553</v>
      </c>
    </row>
    <row r="47" spans="2:12" s="57" customFormat="1" ht="12.95">
      <c r="B47" s="49" t="s">
        <v>106</v>
      </c>
      <c r="C47" s="49">
        <v>6468</v>
      </c>
      <c r="D47" s="49">
        <v>3381</v>
      </c>
      <c r="E47" s="49">
        <v>2326</v>
      </c>
      <c r="F47" s="49">
        <v>5328</v>
      </c>
      <c r="H47" s="49" t="s">
        <v>106</v>
      </c>
      <c r="I47" s="411">
        <f t="shared" si="7"/>
        <v>451.67597765363126</v>
      </c>
      <c r="J47" s="411">
        <f t="shared" si="8"/>
        <v>207.80577750460972</v>
      </c>
      <c r="K47" s="411">
        <f t="shared" si="9"/>
        <v>123.39522546419097</v>
      </c>
      <c r="L47" s="411">
        <f t="shared" si="10"/>
        <v>292.90819131390873</v>
      </c>
    </row>
    <row r="48" spans="2:12" s="57" customFormat="1" ht="12.95">
      <c r="B48" s="49" t="s">
        <v>100</v>
      </c>
      <c r="C48" s="49">
        <v>1963</v>
      </c>
      <c r="D48" s="49">
        <v>1952</v>
      </c>
      <c r="E48" s="49">
        <v>2317</v>
      </c>
      <c r="F48" s="49">
        <v>2300</v>
      </c>
      <c r="H48" s="49" t="s">
        <v>100</v>
      </c>
      <c r="I48" s="411">
        <f t="shared" si="7"/>
        <v>137.08100558659217</v>
      </c>
      <c r="J48" s="411">
        <f t="shared" si="8"/>
        <v>119.97541487400123</v>
      </c>
      <c r="K48" s="411">
        <f t="shared" si="9"/>
        <v>122.91777188328912</v>
      </c>
      <c r="L48" s="411">
        <f t="shared" si="10"/>
        <v>126.44310060472786</v>
      </c>
    </row>
    <row r="49" spans="2:12" s="57" customFormat="1" ht="12.95">
      <c r="B49" s="49" t="s">
        <v>263</v>
      </c>
      <c r="C49" s="49">
        <v>1147</v>
      </c>
      <c r="D49" s="49">
        <v>1147</v>
      </c>
      <c r="E49" s="49">
        <v>1051</v>
      </c>
      <c r="F49" s="49">
        <v>1187</v>
      </c>
      <c r="H49" s="49" t="s">
        <v>263</v>
      </c>
      <c r="I49" s="411">
        <f t="shared" si="7"/>
        <v>80.097765363128488</v>
      </c>
      <c r="J49" s="411">
        <f t="shared" si="8"/>
        <v>70.497848801475115</v>
      </c>
      <c r="K49" s="411">
        <f t="shared" si="9"/>
        <v>55.755968169761267</v>
      </c>
      <c r="L49" s="411">
        <f t="shared" si="10"/>
        <v>65.255634964266079</v>
      </c>
    </row>
    <row r="50" spans="2:12" s="57" customFormat="1" ht="12.95">
      <c r="B50" s="49" t="s">
        <v>218</v>
      </c>
      <c r="C50" s="49">
        <v>967</v>
      </c>
      <c r="D50" s="49">
        <v>968</v>
      </c>
      <c r="E50" s="49">
        <v>833</v>
      </c>
      <c r="F50" s="49">
        <v>1028</v>
      </c>
      <c r="H50" s="49" t="s">
        <v>218</v>
      </c>
      <c r="I50" s="411">
        <f t="shared" si="7"/>
        <v>67.52793296089385</v>
      </c>
      <c r="J50" s="411">
        <f t="shared" si="8"/>
        <v>59.496004917025203</v>
      </c>
      <c r="K50" s="411">
        <f t="shared" si="9"/>
        <v>44.190981432360736</v>
      </c>
      <c r="L50" s="411">
        <f t="shared" si="10"/>
        <v>56.514568444200108</v>
      </c>
    </row>
    <row r="51" spans="2:12" s="57" customFormat="1" ht="12.95">
      <c r="B51" s="49" t="s">
        <v>264</v>
      </c>
      <c r="C51" s="49">
        <v>397</v>
      </c>
      <c r="D51" s="49">
        <v>397</v>
      </c>
      <c r="E51" s="49">
        <v>397</v>
      </c>
      <c r="F51" s="49">
        <v>397</v>
      </c>
      <c r="H51" s="49" t="s">
        <v>264</v>
      </c>
      <c r="I51" s="411">
        <f t="shared" si="7"/>
        <v>27.723463687150836</v>
      </c>
      <c r="J51" s="411">
        <f t="shared" si="8"/>
        <v>24.400737553779965</v>
      </c>
      <c r="K51" s="411">
        <f t="shared" si="9"/>
        <v>21.061007957559681</v>
      </c>
      <c r="L51" s="411">
        <f t="shared" si="10"/>
        <v>21.825178669598678</v>
      </c>
    </row>
    <row r="52" spans="2:12" s="57" customFormat="1" ht="12.95">
      <c r="B52" s="49" t="s">
        <v>265</v>
      </c>
      <c r="C52" s="49" t="s">
        <v>246</v>
      </c>
      <c r="D52" s="49">
        <v>140</v>
      </c>
      <c r="E52" s="49">
        <v>140</v>
      </c>
      <c r="F52" s="49">
        <v>77</v>
      </c>
      <c r="H52" s="49" t="s">
        <v>265</v>
      </c>
      <c r="I52" s="411"/>
      <c r="J52" s="411">
        <f t="shared" si="8"/>
        <v>8.6047940995697605</v>
      </c>
      <c r="K52" s="411">
        <f t="shared" si="9"/>
        <v>7.4270557029177713</v>
      </c>
      <c r="L52" s="411">
        <f t="shared" si="10"/>
        <v>4.2330951072017591</v>
      </c>
    </row>
    <row r="53" spans="2:12" s="57" customFormat="1" ht="12.95">
      <c r="B53" s="49" t="s">
        <v>266</v>
      </c>
      <c r="C53" s="49">
        <v>53</v>
      </c>
      <c r="D53" s="49">
        <v>54</v>
      </c>
      <c r="E53" s="49">
        <v>70</v>
      </c>
      <c r="F53" s="49" t="s">
        <v>246</v>
      </c>
      <c r="H53" s="49" t="s">
        <v>266</v>
      </c>
      <c r="I53" s="411">
        <f t="shared" ref="I53:I63" si="11">C53/$O$10</f>
        <v>3.7011173184357542</v>
      </c>
      <c r="J53" s="411">
        <f t="shared" si="8"/>
        <v>3.3189920098340506</v>
      </c>
      <c r="K53" s="411">
        <f t="shared" si="9"/>
        <v>3.7135278514588856</v>
      </c>
      <c r="L53" s="411"/>
    </row>
    <row r="54" spans="2:12" s="57" customFormat="1" ht="12.95">
      <c r="B54" s="335" t="s">
        <v>103</v>
      </c>
      <c r="C54" s="335">
        <v>77481</v>
      </c>
      <c r="D54" s="335">
        <v>87204</v>
      </c>
      <c r="E54" s="335">
        <v>99632</v>
      </c>
      <c r="F54" s="335">
        <v>112533</v>
      </c>
      <c r="H54" s="335" t="s">
        <v>103</v>
      </c>
      <c r="I54" s="412">
        <f t="shared" si="11"/>
        <v>5410.6843575418998</v>
      </c>
      <c r="J54" s="412">
        <f t="shared" si="8"/>
        <v>5359.8033189920097</v>
      </c>
      <c r="K54" s="412">
        <f t="shared" si="9"/>
        <v>5285.5172413793098</v>
      </c>
      <c r="L54" s="412">
        <f t="shared" ref="L54:L63" si="12">F54/$O$7</f>
        <v>6186.5310610225397</v>
      </c>
    </row>
    <row r="55" spans="2:12" s="57" customFormat="1" ht="12.95">
      <c r="B55" s="48" t="s">
        <v>267</v>
      </c>
      <c r="C55" s="48"/>
      <c r="D55" s="48"/>
      <c r="E55" s="48"/>
      <c r="F55" s="48"/>
      <c r="H55" s="48" t="s">
        <v>267</v>
      </c>
      <c r="I55" s="431">
        <f t="shared" si="11"/>
        <v>0</v>
      </c>
      <c r="J55" s="431">
        <f t="shared" si="8"/>
        <v>0</v>
      </c>
      <c r="K55" s="431">
        <f t="shared" si="9"/>
        <v>0</v>
      </c>
      <c r="L55" s="431">
        <f t="shared" si="12"/>
        <v>0</v>
      </c>
    </row>
    <row r="56" spans="2:12" s="57" customFormat="1" ht="12.95">
      <c r="B56" s="49" t="s">
        <v>111</v>
      </c>
      <c r="C56" s="49">
        <v>37569</v>
      </c>
      <c r="D56" s="49">
        <v>48934</v>
      </c>
      <c r="E56" s="49">
        <v>36279</v>
      </c>
      <c r="F56" s="49">
        <v>25423</v>
      </c>
      <c r="H56" s="49" t="s">
        <v>111</v>
      </c>
      <c r="I56" s="411">
        <f t="shared" si="11"/>
        <v>2623.5335195530724</v>
      </c>
      <c r="J56" s="411">
        <f t="shared" si="8"/>
        <v>3007.6213890596191</v>
      </c>
      <c r="K56" s="411">
        <f t="shared" si="9"/>
        <v>1924.6153846153845</v>
      </c>
      <c r="L56" s="411">
        <f t="shared" si="12"/>
        <v>1397.6360637713028</v>
      </c>
    </row>
    <row r="57" spans="2:12" s="57" customFormat="1" ht="12.95">
      <c r="B57" s="49" t="s">
        <v>106</v>
      </c>
      <c r="C57" s="49">
        <v>51483</v>
      </c>
      <c r="D57" s="49">
        <v>29593</v>
      </c>
      <c r="E57" s="49">
        <v>24353</v>
      </c>
      <c r="F57" s="49">
        <v>24759</v>
      </c>
      <c r="H57" s="49" t="s">
        <v>106</v>
      </c>
      <c r="I57" s="411">
        <f t="shared" si="11"/>
        <v>3595.18156424581</v>
      </c>
      <c r="J57" s="411">
        <f t="shared" si="8"/>
        <v>1818.8690842040567</v>
      </c>
      <c r="K57" s="411">
        <f t="shared" si="9"/>
        <v>1291.9363395225464</v>
      </c>
      <c r="L57" s="411">
        <f t="shared" si="12"/>
        <v>1361.1324903793293</v>
      </c>
    </row>
    <row r="58" spans="2:12" s="57" customFormat="1" ht="12.95">
      <c r="B58" s="49" t="s">
        <v>107</v>
      </c>
      <c r="C58" s="49">
        <v>7766</v>
      </c>
      <c r="D58" s="49">
        <v>3954</v>
      </c>
      <c r="E58" s="49">
        <v>3823</v>
      </c>
      <c r="F58" s="49">
        <v>3698</v>
      </c>
      <c r="H58" s="49" t="s">
        <v>107</v>
      </c>
      <c r="I58" s="411">
        <f t="shared" si="11"/>
        <v>542.31843575418998</v>
      </c>
      <c r="J58" s="411">
        <f t="shared" si="8"/>
        <v>243.02397049784881</v>
      </c>
      <c r="K58" s="411">
        <f t="shared" si="9"/>
        <v>202.81167108753314</v>
      </c>
      <c r="L58" s="411">
        <f t="shared" si="12"/>
        <v>203.2985156679494</v>
      </c>
    </row>
    <row r="59" spans="2:12" s="57" customFormat="1" ht="12.95">
      <c r="B59" s="49" t="s">
        <v>268</v>
      </c>
      <c r="C59" s="49">
        <v>3024</v>
      </c>
      <c r="D59" s="49">
        <v>3862</v>
      </c>
      <c r="E59" s="49">
        <v>2784</v>
      </c>
      <c r="F59" s="49">
        <v>2546</v>
      </c>
      <c r="H59" s="49" t="s">
        <v>268</v>
      </c>
      <c r="I59" s="411">
        <f t="shared" si="11"/>
        <v>211.17318435754188</v>
      </c>
      <c r="J59" s="411">
        <f t="shared" si="8"/>
        <v>237.36939151813155</v>
      </c>
      <c r="K59" s="411">
        <f t="shared" si="9"/>
        <v>147.69230769230768</v>
      </c>
      <c r="L59" s="411">
        <f t="shared" si="12"/>
        <v>139.9670148433205</v>
      </c>
    </row>
    <row r="60" spans="2:12" s="57" customFormat="1" ht="12.95">
      <c r="B60" s="49" t="s">
        <v>269</v>
      </c>
      <c r="C60" s="49">
        <v>2431</v>
      </c>
      <c r="D60" s="49">
        <v>3200</v>
      </c>
      <c r="E60" s="49">
        <v>2306</v>
      </c>
      <c r="F60" s="49">
        <v>1643</v>
      </c>
      <c r="H60" s="432" t="s">
        <v>269</v>
      </c>
      <c r="I60" s="411">
        <f t="shared" si="11"/>
        <v>169.76256983240222</v>
      </c>
      <c r="J60" s="411">
        <f t="shared" si="8"/>
        <v>196.68100799016597</v>
      </c>
      <c r="K60" s="411">
        <f t="shared" si="9"/>
        <v>122.33421750663129</v>
      </c>
      <c r="L60" s="411">
        <f t="shared" si="12"/>
        <v>90.324354040681683</v>
      </c>
    </row>
    <row r="61" spans="2:12" s="57" customFormat="1" ht="12.95">
      <c r="B61" s="49" t="s">
        <v>100</v>
      </c>
      <c r="C61" s="49">
        <v>395</v>
      </c>
      <c r="D61" s="49">
        <v>167</v>
      </c>
      <c r="E61" s="49">
        <v>38</v>
      </c>
      <c r="F61" s="49">
        <v>341</v>
      </c>
      <c r="H61" s="49" t="s">
        <v>100</v>
      </c>
      <c r="I61" s="411">
        <f t="shared" si="11"/>
        <v>27.583798882681563</v>
      </c>
      <c r="J61" s="411">
        <f t="shared" si="8"/>
        <v>10.264290104486786</v>
      </c>
      <c r="K61" s="411">
        <f t="shared" si="9"/>
        <v>2.0159151193633953</v>
      </c>
      <c r="L61" s="411">
        <f t="shared" si="12"/>
        <v>18.74656404617922</v>
      </c>
    </row>
    <row r="62" spans="2:12" s="57" customFormat="1" ht="12.95">
      <c r="B62" s="335" t="s">
        <v>270</v>
      </c>
      <c r="C62" s="335">
        <v>102668</v>
      </c>
      <c r="D62" s="335">
        <v>89710</v>
      </c>
      <c r="E62" s="335">
        <v>69583</v>
      </c>
      <c r="F62" s="335">
        <v>58410</v>
      </c>
      <c r="H62" s="335" t="s">
        <v>270</v>
      </c>
      <c r="I62" s="412">
        <f t="shared" si="11"/>
        <v>7169.5530726256984</v>
      </c>
      <c r="J62" s="412">
        <f t="shared" si="8"/>
        <v>5513.8291333743091</v>
      </c>
      <c r="K62" s="412">
        <f t="shared" si="9"/>
        <v>3691.4058355437664</v>
      </c>
      <c r="L62" s="412">
        <f t="shared" si="12"/>
        <v>3211.1050027487627</v>
      </c>
    </row>
    <row r="63" spans="2:12" s="57" customFormat="1" ht="12.95">
      <c r="B63" s="407" t="s">
        <v>114</v>
      </c>
      <c r="C63" s="407">
        <v>180149</v>
      </c>
      <c r="D63" s="407">
        <v>176914</v>
      </c>
      <c r="E63" s="407">
        <v>169215</v>
      </c>
      <c r="F63" s="407">
        <v>170943</v>
      </c>
      <c r="H63" s="407" t="s">
        <v>114</v>
      </c>
      <c r="I63" s="413">
        <f t="shared" si="11"/>
        <v>12580.237430167597</v>
      </c>
      <c r="J63" s="413">
        <f t="shared" si="8"/>
        <v>10873.632452366319</v>
      </c>
      <c r="K63" s="413">
        <f t="shared" si="9"/>
        <v>8976.9230769230762</v>
      </c>
      <c r="L63" s="413">
        <f t="shared" si="12"/>
        <v>9397.6360637713024</v>
      </c>
    </row>
    <row r="64" spans="2:12" s="57" customFormat="1" ht="12.95">
      <c r="B64" s="48" t="s">
        <v>115</v>
      </c>
      <c r="C64" s="392" t="s">
        <v>104</v>
      </c>
      <c r="D64" s="392" t="s">
        <v>104</v>
      </c>
      <c r="E64" s="392" t="s">
        <v>104</v>
      </c>
      <c r="F64" s="392" t="s">
        <v>104</v>
      </c>
      <c r="H64" s="48" t="s">
        <v>115</v>
      </c>
      <c r="I64" s="433"/>
      <c r="J64" s="433"/>
      <c r="K64" s="433"/>
      <c r="L64" s="433"/>
    </row>
    <row r="65" spans="2:12" s="57" customFormat="1" ht="12.95">
      <c r="B65" s="48" t="s">
        <v>271</v>
      </c>
      <c r="C65" s="392"/>
      <c r="D65" s="392" t="s">
        <v>104</v>
      </c>
      <c r="E65" s="392" t="s">
        <v>104</v>
      </c>
      <c r="F65" s="392" t="s">
        <v>104</v>
      </c>
      <c r="H65" s="48" t="s">
        <v>271</v>
      </c>
      <c r="I65" s="433"/>
      <c r="J65" s="433"/>
      <c r="K65" s="433"/>
      <c r="L65" s="433"/>
    </row>
    <row r="66" spans="2:12" s="57" customFormat="1" ht="12.95">
      <c r="B66" s="49" t="s">
        <v>272</v>
      </c>
      <c r="C66" s="49">
        <v>26</v>
      </c>
      <c r="D66" s="49">
        <v>26</v>
      </c>
      <c r="E66" s="49">
        <v>26</v>
      </c>
      <c r="F66" s="49">
        <v>26</v>
      </c>
      <c r="H66" s="49" t="s">
        <v>272</v>
      </c>
      <c r="I66" s="411">
        <f t="shared" ref="I66:I88" si="13">C66/$O$10</f>
        <v>1.8156424581005586</v>
      </c>
      <c r="J66" s="411">
        <f t="shared" ref="J66:J91" si="14">D66/$O$9</f>
        <v>1.5980331899200984</v>
      </c>
      <c r="K66" s="411">
        <f t="shared" ref="K66:K77" si="15">E66/$O$8</f>
        <v>1.3793103448275861</v>
      </c>
      <c r="L66" s="411">
        <f t="shared" ref="L66:L77" si="16">F66/$O$7</f>
        <v>1.4293567894447499</v>
      </c>
    </row>
    <row r="67" spans="2:12" s="57" customFormat="1" ht="12.95">
      <c r="B67" s="49" t="s">
        <v>118</v>
      </c>
      <c r="C67" s="49">
        <v>22782</v>
      </c>
      <c r="D67" s="49">
        <v>22784</v>
      </c>
      <c r="E67" s="49">
        <v>22744</v>
      </c>
      <c r="F67" s="49">
        <v>22407</v>
      </c>
      <c r="H67" s="49" t="s">
        <v>118</v>
      </c>
      <c r="I67" s="411">
        <f t="shared" si="13"/>
        <v>1590.9217877094973</v>
      </c>
      <c r="J67" s="411">
        <f t="shared" si="14"/>
        <v>1400.3687768899815</v>
      </c>
      <c r="K67" s="411">
        <f t="shared" si="15"/>
        <v>1206.5782493368699</v>
      </c>
      <c r="L67" s="411">
        <f t="shared" si="16"/>
        <v>1231.8306761957119</v>
      </c>
    </row>
    <row r="68" spans="2:12" s="57" customFormat="1" ht="12.95">
      <c r="B68" s="49" t="s">
        <v>121</v>
      </c>
      <c r="C68" s="49">
        <v>74942</v>
      </c>
      <c r="D68" s="49">
        <v>69488</v>
      </c>
      <c r="E68" s="49">
        <v>70461</v>
      </c>
      <c r="F68" s="49">
        <v>72120</v>
      </c>
      <c r="H68" s="49" t="s">
        <v>121</v>
      </c>
      <c r="I68" s="411">
        <f t="shared" si="13"/>
        <v>5233.3798882681567</v>
      </c>
      <c r="J68" s="411">
        <f t="shared" si="14"/>
        <v>4270.9280885064536</v>
      </c>
      <c r="K68" s="411">
        <f t="shared" si="15"/>
        <v>3737.9840848806361</v>
      </c>
      <c r="L68" s="411">
        <f t="shared" si="16"/>
        <v>3964.8158328752061</v>
      </c>
    </row>
    <row r="69" spans="2:12" s="57" customFormat="1" ht="12.95">
      <c r="B69" s="49" t="s">
        <v>273</v>
      </c>
      <c r="C69" s="49">
        <v>3399</v>
      </c>
      <c r="D69" s="49">
        <v>4268</v>
      </c>
      <c r="E69" s="49">
        <v>6474</v>
      </c>
      <c r="F69" s="49">
        <v>6782</v>
      </c>
      <c r="H69" s="49" t="s">
        <v>273</v>
      </c>
      <c r="I69" s="411">
        <f t="shared" si="13"/>
        <v>237.36033519553072</v>
      </c>
      <c r="J69" s="411">
        <f t="shared" si="14"/>
        <v>262.32329440688386</v>
      </c>
      <c r="K69" s="411">
        <f t="shared" si="15"/>
        <v>343.44827586206895</v>
      </c>
      <c r="L69" s="411">
        <f t="shared" si="16"/>
        <v>372.84222100054973</v>
      </c>
    </row>
    <row r="70" spans="2:12" s="57" customFormat="1" ht="26.1">
      <c r="B70" s="49" t="s">
        <v>274</v>
      </c>
      <c r="C70" s="49">
        <v>1064</v>
      </c>
      <c r="D70" s="49">
        <v>210</v>
      </c>
      <c r="E70" s="49">
        <v>-93</v>
      </c>
      <c r="F70" s="49">
        <v>404</v>
      </c>
      <c r="H70" s="49" t="s">
        <v>274</v>
      </c>
      <c r="I70" s="411">
        <f t="shared" si="13"/>
        <v>74.30167597765363</v>
      </c>
      <c r="J70" s="411">
        <f t="shared" si="14"/>
        <v>12.907191149354642</v>
      </c>
      <c r="K70" s="411">
        <f t="shared" si="15"/>
        <v>-4.9336870026525199</v>
      </c>
      <c r="L70" s="411">
        <f t="shared" si="16"/>
        <v>22.210005497526112</v>
      </c>
    </row>
    <row r="71" spans="2:12" s="57" customFormat="1" ht="12.95">
      <c r="B71" s="49" t="s">
        <v>275</v>
      </c>
      <c r="C71" s="49">
        <v>137</v>
      </c>
      <c r="D71" s="49">
        <v>186</v>
      </c>
      <c r="E71" s="49">
        <v>423</v>
      </c>
      <c r="F71" s="49">
        <v>374</v>
      </c>
      <c r="H71" s="49" t="s">
        <v>275</v>
      </c>
      <c r="I71" s="411">
        <f t="shared" si="13"/>
        <v>9.567039106145252</v>
      </c>
      <c r="J71" s="411">
        <f t="shared" si="14"/>
        <v>11.432083589428396</v>
      </c>
      <c r="K71" s="411">
        <f t="shared" si="15"/>
        <v>22.440318302387265</v>
      </c>
      <c r="L71" s="411">
        <f t="shared" si="16"/>
        <v>20.5607476635514</v>
      </c>
    </row>
    <row r="72" spans="2:12" s="57" customFormat="1" ht="12">
      <c r="B72" s="434" t="s">
        <v>276</v>
      </c>
      <c r="C72" s="434">
        <v>102350</v>
      </c>
      <c r="D72" s="434">
        <v>96962</v>
      </c>
      <c r="E72" s="434">
        <v>100035</v>
      </c>
      <c r="F72" s="434">
        <v>102113</v>
      </c>
      <c r="H72" s="434" t="s">
        <v>276</v>
      </c>
      <c r="I72" s="435">
        <f t="shared" si="13"/>
        <v>7147.3463687150834</v>
      </c>
      <c r="J72" s="435">
        <f t="shared" si="14"/>
        <v>5959.5574677320219</v>
      </c>
      <c r="K72" s="435">
        <f t="shared" si="15"/>
        <v>5306.8965517241377</v>
      </c>
      <c r="L72" s="435">
        <f t="shared" si="16"/>
        <v>5613.6888400219896</v>
      </c>
    </row>
    <row r="73" spans="2:12" s="57" customFormat="1" ht="12.95">
      <c r="B73" s="48" t="s">
        <v>56</v>
      </c>
      <c r="C73" s="48"/>
      <c r="D73" s="48"/>
      <c r="E73" s="48"/>
      <c r="F73" s="48"/>
      <c r="H73" s="48" t="s">
        <v>56</v>
      </c>
      <c r="I73" s="431">
        <f t="shared" si="13"/>
        <v>0</v>
      </c>
      <c r="J73" s="431">
        <f t="shared" si="14"/>
        <v>0</v>
      </c>
      <c r="K73" s="431">
        <f t="shared" si="15"/>
        <v>0</v>
      </c>
      <c r="L73" s="431">
        <f t="shared" si="16"/>
        <v>0</v>
      </c>
    </row>
    <row r="74" spans="2:12" s="57" customFormat="1" ht="12.95">
      <c r="B74" s="49" t="s">
        <v>265</v>
      </c>
      <c r="C74" s="49">
        <v>15648</v>
      </c>
      <c r="D74" s="49">
        <v>17138</v>
      </c>
      <c r="E74" s="49">
        <v>19131</v>
      </c>
      <c r="F74" s="49">
        <v>20645</v>
      </c>
      <c r="H74" s="432" t="s">
        <v>265</v>
      </c>
      <c r="I74" s="411">
        <f t="shared" si="13"/>
        <v>1092.7374301675977</v>
      </c>
      <c r="J74" s="411">
        <f t="shared" si="14"/>
        <v>1053.3497234173326</v>
      </c>
      <c r="K74" s="411">
        <f t="shared" si="15"/>
        <v>1014.9071618037135</v>
      </c>
      <c r="L74" s="411">
        <f t="shared" si="16"/>
        <v>1134.9642660802638</v>
      </c>
    </row>
    <row r="75" spans="2:12" s="57" customFormat="1" ht="12.95">
      <c r="B75" s="49" t="s">
        <v>277</v>
      </c>
      <c r="C75" s="49">
        <v>2318</v>
      </c>
      <c r="D75" s="49">
        <v>2906</v>
      </c>
      <c r="E75" s="49">
        <v>2734</v>
      </c>
      <c r="F75" s="49">
        <v>2538</v>
      </c>
      <c r="H75" s="49" t="s">
        <v>277</v>
      </c>
      <c r="I75" s="411">
        <f t="shared" si="13"/>
        <v>161.87150837988827</v>
      </c>
      <c r="J75" s="411">
        <f t="shared" si="14"/>
        <v>178.61094038106947</v>
      </c>
      <c r="K75" s="411">
        <f t="shared" si="15"/>
        <v>145.03978779840847</v>
      </c>
      <c r="L75" s="411">
        <f t="shared" si="16"/>
        <v>139.52721275426057</v>
      </c>
    </row>
    <row r="76" spans="2:12" s="57" customFormat="1" ht="12.95">
      <c r="B76" s="49" t="s">
        <v>125</v>
      </c>
      <c r="C76" s="49">
        <v>2943</v>
      </c>
      <c r="D76" s="49">
        <v>1540</v>
      </c>
      <c r="E76" s="49">
        <v>365</v>
      </c>
      <c r="F76" s="49">
        <v>535</v>
      </c>
      <c r="H76" s="49" t="s">
        <v>125</v>
      </c>
      <c r="I76" s="411">
        <f t="shared" si="13"/>
        <v>205.5167597765363</v>
      </c>
      <c r="J76" s="411">
        <f t="shared" si="14"/>
        <v>94.65273509526736</v>
      </c>
      <c r="K76" s="411">
        <f t="shared" si="15"/>
        <v>19.363395225464188</v>
      </c>
      <c r="L76" s="411">
        <f t="shared" si="16"/>
        <v>29.411764705882351</v>
      </c>
    </row>
    <row r="77" spans="2:12" s="57" customFormat="1" ht="12.95">
      <c r="B77" s="49" t="s">
        <v>230</v>
      </c>
      <c r="C77" s="49">
        <v>330</v>
      </c>
      <c r="D77" s="49">
        <v>273</v>
      </c>
      <c r="E77" s="49">
        <v>11</v>
      </c>
      <c r="F77" s="49">
        <v>11</v>
      </c>
      <c r="H77" s="49" t="s">
        <v>230</v>
      </c>
      <c r="I77" s="411">
        <f t="shared" si="13"/>
        <v>23.044692737430168</v>
      </c>
      <c r="J77" s="411">
        <f t="shared" si="14"/>
        <v>16.779348494161034</v>
      </c>
      <c r="K77" s="411">
        <f t="shared" si="15"/>
        <v>0.58355437665782484</v>
      </c>
      <c r="L77" s="411">
        <f t="shared" si="16"/>
        <v>0.60472787245739412</v>
      </c>
    </row>
    <row r="78" spans="2:12" s="57" customFormat="1" ht="12.95">
      <c r="B78" s="49" t="s">
        <v>223</v>
      </c>
      <c r="C78" s="49">
        <v>81</v>
      </c>
      <c r="D78" s="49">
        <v>27</v>
      </c>
      <c r="E78" s="49" t="s">
        <v>246</v>
      </c>
      <c r="F78" s="49" t="s">
        <v>246</v>
      </c>
      <c r="H78" s="49" t="s">
        <v>223</v>
      </c>
      <c r="I78" s="411">
        <f t="shared" si="13"/>
        <v>5.6564245810055862</v>
      </c>
      <c r="J78" s="411">
        <f t="shared" si="14"/>
        <v>1.6594960049170253</v>
      </c>
      <c r="K78" s="411"/>
      <c r="L78" s="411"/>
    </row>
    <row r="79" spans="2:12" s="57" customFormat="1" ht="12.95">
      <c r="B79" s="49" t="s">
        <v>278</v>
      </c>
      <c r="C79" s="49">
        <v>11</v>
      </c>
      <c r="D79" s="49">
        <v>11</v>
      </c>
      <c r="E79" s="49" t="s">
        <v>246</v>
      </c>
      <c r="F79" s="49" t="s">
        <v>246</v>
      </c>
      <c r="H79" s="49" t="s">
        <v>278</v>
      </c>
      <c r="I79" s="411">
        <f t="shared" si="13"/>
        <v>0.76815642458100553</v>
      </c>
      <c r="J79" s="411">
        <f t="shared" si="14"/>
        <v>0.67609096496619547</v>
      </c>
      <c r="K79" s="411"/>
      <c r="L79" s="411"/>
    </row>
    <row r="80" spans="2:12" s="57" customFormat="1" ht="12.95">
      <c r="B80" s="335" t="s">
        <v>132</v>
      </c>
      <c r="C80" s="335">
        <v>21331</v>
      </c>
      <c r="D80" s="335">
        <v>21895</v>
      </c>
      <c r="E80" s="335">
        <v>22241</v>
      </c>
      <c r="F80" s="335">
        <v>23729</v>
      </c>
      <c r="H80" s="335" t="s">
        <v>132</v>
      </c>
      <c r="I80" s="412">
        <f t="shared" si="13"/>
        <v>1489.5949720670392</v>
      </c>
      <c r="J80" s="412">
        <f t="shared" si="14"/>
        <v>1345.7283343577137</v>
      </c>
      <c r="K80" s="412">
        <f t="shared" ref="K80:K88" si="17">E80/$O$8</f>
        <v>1179.893899204244</v>
      </c>
      <c r="L80" s="412">
        <f t="shared" ref="L80:L89" si="18">F80/$O$7</f>
        <v>1304.5079714128642</v>
      </c>
    </row>
    <row r="81" spans="2:12" s="57" customFormat="1" ht="12.95">
      <c r="B81" s="48" t="s">
        <v>220</v>
      </c>
      <c r="C81" s="48">
        <v>56468</v>
      </c>
      <c r="D81" s="48">
        <v>58057</v>
      </c>
      <c r="E81" s="48">
        <v>46939</v>
      </c>
      <c r="F81" s="48">
        <v>45101</v>
      </c>
      <c r="H81" s="48" t="s">
        <v>220</v>
      </c>
      <c r="I81" s="431">
        <f t="shared" si="13"/>
        <v>3943.2960893854747</v>
      </c>
      <c r="J81" s="431">
        <f t="shared" si="14"/>
        <v>3568.3466502765827</v>
      </c>
      <c r="K81" s="431">
        <f t="shared" si="17"/>
        <v>2490.132625994695</v>
      </c>
      <c r="L81" s="431">
        <f t="shared" si="18"/>
        <v>2479.4392523364486</v>
      </c>
    </row>
    <row r="82" spans="2:12" s="57" customFormat="1" ht="12.95">
      <c r="B82" s="49" t="s">
        <v>134</v>
      </c>
      <c r="C82" s="49">
        <v>25110</v>
      </c>
      <c r="D82" s="49">
        <v>26767</v>
      </c>
      <c r="E82" s="49">
        <v>24540</v>
      </c>
      <c r="F82" s="49">
        <v>23438</v>
      </c>
      <c r="H82" s="49" t="s">
        <v>134</v>
      </c>
      <c r="I82" s="411">
        <f t="shared" si="13"/>
        <v>1753.4916201117319</v>
      </c>
      <c r="J82" s="411">
        <f t="shared" si="14"/>
        <v>1645.1751690227413</v>
      </c>
      <c r="K82" s="411">
        <f t="shared" si="17"/>
        <v>1301.8567639257294</v>
      </c>
      <c r="L82" s="411">
        <f t="shared" si="18"/>
        <v>1288.5101704233093</v>
      </c>
    </row>
    <row r="83" spans="2:12" s="57" customFormat="1" ht="12.95">
      <c r="B83" s="49" t="s">
        <v>279</v>
      </c>
      <c r="C83" s="49">
        <v>28240</v>
      </c>
      <c r="D83" s="49">
        <v>25605</v>
      </c>
      <c r="E83" s="49">
        <v>13247</v>
      </c>
      <c r="F83" s="49">
        <v>13951</v>
      </c>
      <c r="H83" s="49" t="s">
        <v>279</v>
      </c>
      <c r="I83" s="411">
        <f t="shared" si="13"/>
        <v>1972.0670391061451</v>
      </c>
      <c r="J83" s="411">
        <f t="shared" si="14"/>
        <v>1573.7553779963123</v>
      </c>
      <c r="K83" s="411">
        <f t="shared" si="17"/>
        <v>702.75862068965512</v>
      </c>
      <c r="L83" s="411">
        <f t="shared" si="18"/>
        <v>766.95986805937321</v>
      </c>
    </row>
    <row r="84" spans="2:12" s="57" customFormat="1" ht="12.95">
      <c r="B84" s="49" t="s">
        <v>278</v>
      </c>
      <c r="C84" s="49">
        <v>50</v>
      </c>
      <c r="D84" s="49">
        <v>55</v>
      </c>
      <c r="E84" s="49">
        <v>7117</v>
      </c>
      <c r="F84" s="49">
        <v>6003</v>
      </c>
      <c r="H84" s="49" t="s">
        <v>278</v>
      </c>
      <c r="I84" s="411">
        <f t="shared" si="13"/>
        <v>3.4916201117318435</v>
      </c>
      <c r="J84" s="411">
        <f t="shared" si="14"/>
        <v>3.3804548248309771</v>
      </c>
      <c r="K84" s="411">
        <f t="shared" si="17"/>
        <v>377.55968169761269</v>
      </c>
      <c r="L84" s="411">
        <f t="shared" si="18"/>
        <v>330.01649257833975</v>
      </c>
    </row>
    <row r="85" spans="2:12" s="57" customFormat="1" ht="12.95">
      <c r="B85" s="49" t="s">
        <v>223</v>
      </c>
      <c r="C85" s="49">
        <v>2697</v>
      </c>
      <c r="D85" s="49">
        <v>2677</v>
      </c>
      <c r="E85" s="49">
        <v>1266</v>
      </c>
      <c r="F85" s="49">
        <v>635</v>
      </c>
      <c r="H85" s="49" t="s">
        <v>223</v>
      </c>
      <c r="I85" s="411">
        <f t="shared" si="13"/>
        <v>188.33798882681563</v>
      </c>
      <c r="J85" s="411">
        <f t="shared" si="14"/>
        <v>164.5359557467732</v>
      </c>
      <c r="K85" s="411">
        <f t="shared" si="17"/>
        <v>67.161803713527846</v>
      </c>
      <c r="L85" s="411">
        <f t="shared" si="18"/>
        <v>34.909290819131385</v>
      </c>
    </row>
    <row r="86" spans="2:12" s="57" customFormat="1" ht="12.95">
      <c r="B86" s="432" t="s">
        <v>280</v>
      </c>
      <c r="C86" s="49">
        <v>30</v>
      </c>
      <c r="D86" s="49">
        <v>7</v>
      </c>
      <c r="E86" s="49">
        <v>109</v>
      </c>
      <c r="F86" s="49">
        <v>467</v>
      </c>
      <c r="H86" s="432" t="s">
        <v>280</v>
      </c>
      <c r="I86" s="411">
        <f t="shared" si="13"/>
        <v>2.0949720670391061</v>
      </c>
      <c r="J86" s="411">
        <f t="shared" si="14"/>
        <v>0.43023970497848801</v>
      </c>
      <c r="K86" s="411">
        <f t="shared" si="17"/>
        <v>5.7824933687002646</v>
      </c>
      <c r="L86" s="411">
        <f t="shared" si="18"/>
        <v>25.673446948873007</v>
      </c>
    </row>
    <row r="87" spans="2:12" s="57" customFormat="1" ht="12.95">
      <c r="B87" s="49" t="s">
        <v>125</v>
      </c>
      <c r="C87" s="49">
        <v>151</v>
      </c>
      <c r="D87" s="49">
        <v>103</v>
      </c>
      <c r="E87" s="49">
        <v>149</v>
      </c>
      <c r="F87" s="49">
        <v>336</v>
      </c>
      <c r="H87" s="49" t="s">
        <v>125</v>
      </c>
      <c r="I87" s="411">
        <f t="shared" si="13"/>
        <v>10.544692737430168</v>
      </c>
      <c r="J87" s="411">
        <f t="shared" si="14"/>
        <v>6.3306699446834669</v>
      </c>
      <c r="K87" s="411">
        <f t="shared" si="17"/>
        <v>7.9045092838196283</v>
      </c>
      <c r="L87" s="411">
        <f t="shared" si="18"/>
        <v>18.471687740516767</v>
      </c>
    </row>
    <row r="88" spans="2:12" s="57" customFormat="1" ht="12.95">
      <c r="B88" s="49" t="s">
        <v>269</v>
      </c>
      <c r="C88" s="49">
        <v>160</v>
      </c>
      <c r="D88" s="49">
        <v>1590</v>
      </c>
      <c r="E88" s="49">
        <v>511</v>
      </c>
      <c r="F88" s="49">
        <v>164</v>
      </c>
      <c r="H88" s="432" t="s">
        <v>269</v>
      </c>
      <c r="I88" s="411">
        <f t="shared" si="13"/>
        <v>11.173184357541899</v>
      </c>
      <c r="J88" s="411">
        <f t="shared" si="14"/>
        <v>97.725875845113706</v>
      </c>
      <c r="K88" s="411">
        <f t="shared" si="17"/>
        <v>27.108753315649864</v>
      </c>
      <c r="L88" s="411">
        <f t="shared" si="18"/>
        <v>9.0159428257284215</v>
      </c>
    </row>
    <row r="89" spans="2:12" s="57" customFormat="1" ht="12.95">
      <c r="B89" s="49" t="s">
        <v>277</v>
      </c>
      <c r="C89" s="49" t="s">
        <v>246</v>
      </c>
      <c r="D89" s="49">
        <v>1248</v>
      </c>
      <c r="E89" s="49" t="s">
        <v>246</v>
      </c>
      <c r="F89" s="49">
        <v>107</v>
      </c>
      <c r="H89" s="49" t="s">
        <v>277</v>
      </c>
      <c r="I89" s="411"/>
      <c r="J89" s="411">
        <f t="shared" si="14"/>
        <v>76.705593116164721</v>
      </c>
      <c r="K89" s="411"/>
      <c r="L89" s="411">
        <f t="shared" si="18"/>
        <v>5.8823529411764701</v>
      </c>
    </row>
    <row r="90" spans="2:12" s="57" customFormat="1" ht="12.95">
      <c r="B90" s="432" t="s">
        <v>281</v>
      </c>
      <c r="C90" s="49">
        <v>30</v>
      </c>
      <c r="D90" s="49">
        <v>5</v>
      </c>
      <c r="E90" s="49" t="s">
        <v>246</v>
      </c>
      <c r="F90" s="49" t="s">
        <v>206</v>
      </c>
      <c r="H90" s="432" t="s">
        <v>282</v>
      </c>
      <c r="I90" s="411">
        <f>C90/$O$10</f>
        <v>2.0949720670391061</v>
      </c>
      <c r="J90" s="411">
        <f t="shared" si="14"/>
        <v>0.30731407498463431</v>
      </c>
      <c r="K90" s="411"/>
      <c r="L90" s="411"/>
    </row>
    <row r="91" spans="2:12" s="57" customFormat="1" ht="12.95">
      <c r="B91" s="407" t="s">
        <v>142</v>
      </c>
      <c r="C91" s="407">
        <v>180149</v>
      </c>
      <c r="D91" s="407">
        <v>176914</v>
      </c>
      <c r="E91" s="407">
        <v>169215</v>
      </c>
      <c r="F91" s="407">
        <v>170943</v>
      </c>
      <c r="H91" s="407" t="s">
        <v>142</v>
      </c>
      <c r="I91" s="413">
        <f>C91/$O$10</f>
        <v>12580.237430167597</v>
      </c>
      <c r="J91" s="413">
        <f t="shared" si="14"/>
        <v>10873.632452366319</v>
      </c>
      <c r="K91" s="413">
        <f>E91/$O$8</f>
        <v>8976.9230769230762</v>
      </c>
      <c r="L91" s="413">
        <f>F91/$O$7</f>
        <v>9397.6360637713024</v>
      </c>
    </row>
  </sheetData>
  <mergeCells count="12">
    <mergeCell ref="I41:L41"/>
    <mergeCell ref="C41:F41"/>
    <mergeCell ref="H3:I3"/>
    <mergeCell ref="H26:I26"/>
    <mergeCell ref="H40:I40"/>
    <mergeCell ref="B3:C3"/>
    <mergeCell ref="B26:C26"/>
    <mergeCell ref="B40:D40"/>
    <mergeCell ref="C4:F4"/>
    <mergeCell ref="C27:F27"/>
    <mergeCell ref="I4:L4"/>
    <mergeCell ref="I27:L27"/>
  </mergeCells>
  <printOptions horizontalCentered="1"/>
  <pageMargins left="0.25" right="0.25" top="0.75" bottom="0.75" header="0.3" footer="0.3"/>
  <pageSetup scale="72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5781-C294-420D-A354-5DE7BD2038C0}">
  <sheetPr>
    <tabColor theme="4" tint="0.39997558519241921"/>
    <pageSetUpPr autoPageBreaks="0" fitToPage="1"/>
  </sheetPr>
  <dimension ref="B1:O97"/>
  <sheetViews>
    <sheetView showGridLines="0" topLeftCell="G4" zoomScaleNormal="100" workbookViewId="0">
      <selection activeCell="H16" sqref="H16"/>
    </sheetView>
  </sheetViews>
  <sheetFormatPr defaultColWidth="8.85546875" defaultRowHeight="15"/>
  <cols>
    <col min="1" max="1" width="2.42578125" style="15" customWidth="1"/>
    <col min="2" max="2" width="47.28515625" style="15" customWidth="1"/>
    <col min="3" max="6" width="16.42578125" style="15" customWidth="1"/>
    <col min="7" max="7" width="8.85546875" style="15"/>
    <col min="8" max="8" width="50.42578125" style="15" customWidth="1"/>
    <col min="9" max="9" width="12.85546875" style="15" customWidth="1"/>
    <col min="10" max="10" width="14" style="15" customWidth="1"/>
    <col min="11" max="11" width="12.7109375" style="15" customWidth="1"/>
    <col min="12" max="12" width="12.85546875" style="15" customWidth="1"/>
    <col min="13" max="14" width="8.85546875" style="15"/>
    <col min="15" max="15" width="9.42578125" style="15" customWidth="1"/>
    <col min="16" max="16384" width="8.85546875" style="15"/>
  </cols>
  <sheetData>
    <row r="1" spans="2:15" ht="15" customHeight="1"/>
    <row r="2" spans="2:15" ht="15" customHeight="1">
      <c r="B2" s="15" t="s">
        <v>192</v>
      </c>
      <c r="H2" s="15" t="s">
        <v>192</v>
      </c>
    </row>
    <row r="3" spans="2:15" ht="24" customHeight="1">
      <c r="B3" s="541" t="s">
        <v>0</v>
      </c>
      <c r="C3" s="541"/>
      <c r="D3" s="15" t="e" vm="8">
        <v>#VALUE!</v>
      </c>
      <c r="H3" s="541" t="s">
        <v>0</v>
      </c>
      <c r="I3" s="541"/>
      <c r="J3" s="15" t="e" vm="8">
        <v>#VALUE!</v>
      </c>
    </row>
    <row r="4" spans="2:15" s="398" customFormat="1" ht="20.100000000000001" customHeight="1">
      <c r="B4" s="15" t="s">
        <v>237</v>
      </c>
      <c r="C4" s="540" t="s">
        <v>283</v>
      </c>
      <c r="D4" s="540"/>
      <c r="E4" s="540"/>
      <c r="F4" s="540"/>
      <c r="H4" s="15" t="s">
        <v>238</v>
      </c>
      <c r="I4" s="540" t="s">
        <v>283</v>
      </c>
      <c r="J4" s="540"/>
      <c r="K4" s="540"/>
      <c r="L4" s="540"/>
    </row>
    <row r="5" spans="2:15" s="401" customFormat="1" ht="19.5" customHeight="1">
      <c r="B5" s="399"/>
      <c r="C5" s="400">
        <v>2021</v>
      </c>
      <c r="D5" s="400">
        <v>2022</v>
      </c>
      <c r="E5" s="400">
        <v>2023</v>
      </c>
      <c r="F5" s="400">
        <v>2024</v>
      </c>
      <c r="H5" s="399"/>
      <c r="I5" s="400">
        <v>2021</v>
      </c>
      <c r="J5" s="400">
        <v>2022</v>
      </c>
      <c r="K5" s="400">
        <v>2023</v>
      </c>
      <c r="L5" s="400">
        <v>2024</v>
      </c>
      <c r="N5" s="419" t="s">
        <v>284</v>
      </c>
      <c r="O5" s="420"/>
    </row>
    <row r="6" spans="2:15" s="402" customFormat="1" ht="19.5" customHeight="1">
      <c r="B6" s="48" t="s">
        <v>27</v>
      </c>
      <c r="C6" s="48">
        <v>129575</v>
      </c>
      <c r="D6" s="48">
        <v>118332</v>
      </c>
      <c r="E6" s="48">
        <v>106594</v>
      </c>
      <c r="F6" s="48">
        <v>86398</v>
      </c>
      <c r="H6" s="48" t="s">
        <v>27</v>
      </c>
      <c r="I6" s="223">
        <f>C6/$O$16</f>
        <v>8413.9610389610389</v>
      </c>
      <c r="J6" s="223">
        <f>D6/$O$15</f>
        <v>7774.7700394218127</v>
      </c>
      <c r="K6" s="223">
        <f>E6/$O$14</f>
        <v>5998.5368598761961</v>
      </c>
      <c r="L6" s="223">
        <f>F6/$O$13</f>
        <v>4617.7445216461783</v>
      </c>
      <c r="N6" s="421" t="s">
        <v>241</v>
      </c>
      <c r="O6" s="422"/>
    </row>
    <row r="7" spans="2:15" s="402" customFormat="1" ht="19.5" customHeight="1">
      <c r="B7" s="49" t="s">
        <v>243</v>
      </c>
      <c r="C7" s="222">
        <v>-76120</v>
      </c>
      <c r="D7" s="222">
        <v>-77047</v>
      </c>
      <c r="E7" s="222">
        <v>-84256</v>
      </c>
      <c r="F7" s="222">
        <v>-80931</v>
      </c>
      <c r="H7" s="49" t="s">
        <v>243</v>
      </c>
      <c r="I7" s="66">
        <f>C7/$O$16</f>
        <v>-4942.8571428571431</v>
      </c>
      <c r="J7" s="66">
        <f>D7/$O$15</f>
        <v>-5062.2207621550588</v>
      </c>
      <c r="K7" s="66">
        <f>E7/$O$14</f>
        <v>-4741.4743950478332</v>
      </c>
      <c r="L7" s="66">
        <f>F7/$O$13</f>
        <v>-4325.5478353821482</v>
      </c>
      <c r="N7" s="421">
        <v>2024</v>
      </c>
      <c r="O7" s="423">
        <v>18.190000000000001</v>
      </c>
    </row>
    <row r="8" spans="2:15" s="402" customFormat="1" ht="19.5" customHeight="1">
      <c r="B8" s="88" t="s">
        <v>79</v>
      </c>
      <c r="C8" s="88">
        <v>53455</v>
      </c>
      <c r="D8" s="88">
        <v>41285</v>
      </c>
      <c r="E8" s="88">
        <v>22338</v>
      </c>
      <c r="F8" s="88">
        <v>5467</v>
      </c>
      <c r="H8" s="88" t="s">
        <v>79</v>
      </c>
      <c r="I8" s="86">
        <f>C8/$O$16</f>
        <v>3471.1038961038962</v>
      </c>
      <c r="J8" s="86">
        <f>D8/$O$15</f>
        <v>2712.549277266754</v>
      </c>
      <c r="K8" s="86">
        <f>E8/$O$14</f>
        <v>1257.0624648283624</v>
      </c>
      <c r="L8" s="86">
        <f>F8/$O$13</f>
        <v>292.19668626402989</v>
      </c>
      <c r="N8" s="421">
        <v>2023</v>
      </c>
      <c r="O8" s="423">
        <v>18.850000000000001</v>
      </c>
    </row>
    <row r="9" spans="2:15" s="402" customFormat="1" ht="19.5" customHeight="1">
      <c r="B9" s="49" t="s">
        <v>285</v>
      </c>
      <c r="C9" s="66">
        <v>14728</v>
      </c>
      <c r="D9" s="66" t="s">
        <v>246</v>
      </c>
      <c r="E9" s="66">
        <v>-15116</v>
      </c>
      <c r="F9" s="66">
        <v>-21852</v>
      </c>
      <c r="H9" s="49" t="s">
        <v>285</v>
      </c>
      <c r="I9" s="66">
        <f>C9/$O$16</f>
        <v>956.36363636363637</v>
      </c>
      <c r="J9" s="66" t="s">
        <v>246</v>
      </c>
      <c r="K9" s="66">
        <f>E9/$O$14</f>
        <v>-850.64715813168266</v>
      </c>
      <c r="L9" s="66">
        <f>F9/$O$13</f>
        <v>-1167.9315873864243</v>
      </c>
      <c r="N9" s="421">
        <v>2022</v>
      </c>
      <c r="O9" s="422">
        <v>16.27</v>
      </c>
    </row>
    <row r="10" spans="2:15" s="402" customFormat="1" ht="19.5" customHeight="1">
      <c r="B10" s="49" t="s">
        <v>286</v>
      </c>
      <c r="C10" s="66"/>
      <c r="D10" s="66" t="s">
        <v>246</v>
      </c>
      <c r="E10" s="66" t="s">
        <v>246</v>
      </c>
      <c r="F10" s="66">
        <v>-1932</v>
      </c>
      <c r="H10" s="49" t="s">
        <v>286</v>
      </c>
      <c r="I10" s="66" t="s">
        <v>246</v>
      </c>
      <c r="J10" s="66" t="s">
        <v>246</v>
      </c>
      <c r="K10" s="66" t="s">
        <v>246</v>
      </c>
      <c r="L10" s="66">
        <f>F10/$O$13</f>
        <v>-103.26028861571352</v>
      </c>
      <c r="N10" s="421">
        <v>2021</v>
      </c>
      <c r="O10" s="422">
        <v>14.32</v>
      </c>
    </row>
    <row r="11" spans="2:15" s="402" customFormat="1" ht="19.5" customHeight="1">
      <c r="B11" s="49" t="s">
        <v>287</v>
      </c>
      <c r="C11" s="66"/>
      <c r="D11" s="66"/>
      <c r="E11" s="66"/>
      <c r="F11" s="66" t="s">
        <v>104</v>
      </c>
      <c r="H11" s="49" t="s">
        <v>287</v>
      </c>
      <c r="I11" s="66" t="s">
        <v>246</v>
      </c>
      <c r="J11" s="66" t="s">
        <v>246</v>
      </c>
      <c r="K11" s="66" t="s">
        <v>246</v>
      </c>
      <c r="L11" s="66" t="s">
        <v>246</v>
      </c>
      <c r="N11" s="421"/>
      <c r="O11" s="422"/>
    </row>
    <row r="12" spans="2:15" s="402" customFormat="1" ht="19.5" customHeight="1">
      <c r="B12" s="49" t="s">
        <v>288</v>
      </c>
      <c r="C12" s="66"/>
      <c r="D12" s="66" t="s">
        <v>246</v>
      </c>
      <c r="E12" s="66">
        <v>-1772</v>
      </c>
      <c r="F12" s="66" t="s">
        <v>246</v>
      </c>
      <c r="H12" s="49" t="s">
        <v>288</v>
      </c>
      <c r="I12" s="66" t="s">
        <v>246</v>
      </c>
      <c r="J12" s="66" t="s">
        <v>246</v>
      </c>
      <c r="K12" s="66">
        <f t="shared" ref="K12:K21" si="0">E12/$O$14</f>
        <v>-99.718626899268429</v>
      </c>
      <c r="L12" s="66" t="s">
        <v>246</v>
      </c>
      <c r="N12" s="424" t="s">
        <v>247</v>
      </c>
      <c r="O12" s="422"/>
    </row>
    <row r="13" spans="2:15" s="402" customFormat="1" ht="19.5" customHeight="1">
      <c r="B13" s="49" t="s">
        <v>248</v>
      </c>
      <c r="C13" s="66">
        <v>214</v>
      </c>
      <c r="D13" s="66">
        <v>100</v>
      </c>
      <c r="E13" s="66">
        <v>240</v>
      </c>
      <c r="F13" s="66">
        <v>1170</v>
      </c>
      <c r="H13" s="49" t="s">
        <v>248</v>
      </c>
      <c r="I13" s="66">
        <f t="shared" ref="I13:I21" si="1">C13/$O$16</f>
        <v>13.896103896103895</v>
      </c>
      <c r="J13" s="66">
        <f t="shared" ref="J13:J21" si="2">D13/$O$15</f>
        <v>6.5703022339027592</v>
      </c>
      <c r="K13" s="66">
        <f t="shared" si="0"/>
        <v>13.505908835115363</v>
      </c>
      <c r="L13" s="66">
        <f t="shared" ref="L13:L21" si="3">F13/$O$13</f>
        <v>62.533404596472472</v>
      </c>
      <c r="N13" s="421">
        <v>2024</v>
      </c>
      <c r="O13" s="422">
        <v>18.71</v>
      </c>
    </row>
    <row r="14" spans="2:15" s="402" customFormat="1" ht="19.5" customHeight="1">
      <c r="B14" s="49" t="s">
        <v>255</v>
      </c>
      <c r="C14" s="66">
        <v>-2175</v>
      </c>
      <c r="D14" s="66">
        <v>-539</v>
      </c>
      <c r="E14" s="66">
        <v>-1319</v>
      </c>
      <c r="F14" s="66">
        <v>-1289</v>
      </c>
      <c r="H14" s="49" t="s">
        <v>255</v>
      </c>
      <c r="I14" s="66">
        <f t="shared" si="1"/>
        <v>-141.23376623376623</v>
      </c>
      <c r="J14" s="66">
        <f t="shared" si="2"/>
        <v>-35.413929040735873</v>
      </c>
      <c r="K14" s="66">
        <f t="shared" si="0"/>
        <v>-74.22622397298818</v>
      </c>
      <c r="L14" s="66">
        <f t="shared" si="3"/>
        <v>-68.893639764831633</v>
      </c>
      <c r="N14" s="421">
        <v>2023</v>
      </c>
      <c r="O14" s="422">
        <v>17.77</v>
      </c>
    </row>
    <row r="15" spans="2:15" s="402" customFormat="1" ht="19.5" customHeight="1">
      <c r="B15" s="49" t="s">
        <v>199</v>
      </c>
      <c r="C15" s="66">
        <v>768</v>
      </c>
      <c r="D15" s="66">
        <v>805</v>
      </c>
      <c r="E15" s="66">
        <v>1792</v>
      </c>
      <c r="F15" s="66">
        <v>1076</v>
      </c>
      <c r="H15" s="49" t="s">
        <v>199</v>
      </c>
      <c r="I15" s="66">
        <f t="shared" si="1"/>
        <v>49.870129870129873</v>
      </c>
      <c r="J15" s="66">
        <f t="shared" si="2"/>
        <v>52.890932982917214</v>
      </c>
      <c r="K15" s="66">
        <f t="shared" si="0"/>
        <v>100.84411930219471</v>
      </c>
      <c r="L15" s="66">
        <f t="shared" si="3"/>
        <v>57.509353287012289</v>
      </c>
      <c r="N15" s="421">
        <v>2022</v>
      </c>
      <c r="O15" s="422">
        <v>15.22</v>
      </c>
    </row>
    <row r="16" spans="2:15" s="402" customFormat="1" ht="19.5" customHeight="1">
      <c r="B16" s="49" t="s">
        <v>289</v>
      </c>
      <c r="C16" s="66">
        <v>-946</v>
      </c>
      <c r="D16" s="66">
        <v>-562</v>
      </c>
      <c r="E16" s="66">
        <v>-615</v>
      </c>
      <c r="F16" s="66">
        <v>-960</v>
      </c>
      <c r="H16" s="49" t="s">
        <v>289</v>
      </c>
      <c r="I16" s="66">
        <f t="shared" si="1"/>
        <v>-61.428571428571431</v>
      </c>
      <c r="J16" s="66">
        <f t="shared" si="2"/>
        <v>-36.925098554533506</v>
      </c>
      <c r="K16" s="66">
        <f t="shared" si="0"/>
        <v>-34.608891389983121</v>
      </c>
      <c r="L16" s="66">
        <f t="shared" si="3"/>
        <v>-51.309460181721001</v>
      </c>
      <c r="N16" s="425">
        <v>2021</v>
      </c>
      <c r="O16" s="426">
        <v>15.4</v>
      </c>
    </row>
    <row r="17" spans="2:12" s="402" customFormat="1" ht="19.5" customHeight="1">
      <c r="B17" s="49" t="s">
        <v>290</v>
      </c>
      <c r="C17" s="66">
        <v>-1336</v>
      </c>
      <c r="D17" s="66">
        <v>-161</v>
      </c>
      <c r="E17" s="66">
        <v>857</v>
      </c>
      <c r="F17" s="66">
        <v>-924</v>
      </c>
      <c r="H17" s="49" t="s">
        <v>290</v>
      </c>
      <c r="I17" s="66">
        <f t="shared" si="1"/>
        <v>-86.753246753246756</v>
      </c>
      <c r="J17" s="66">
        <f t="shared" si="2"/>
        <v>-10.578186596583443</v>
      </c>
      <c r="K17" s="66">
        <f t="shared" si="0"/>
        <v>48.227349465391107</v>
      </c>
      <c r="L17" s="66">
        <f t="shared" si="3"/>
        <v>-49.385355424906464</v>
      </c>
    </row>
    <row r="18" spans="2:12" s="57" customFormat="1" ht="19.5" customHeight="1">
      <c r="B18" s="49" t="s">
        <v>291</v>
      </c>
      <c r="C18" s="66">
        <v>3212</v>
      </c>
      <c r="D18" s="66">
        <v>4311</v>
      </c>
      <c r="E18" s="66">
        <v>3382</v>
      </c>
      <c r="F18" s="66">
        <v>-1182</v>
      </c>
      <c r="H18" s="49" t="s">
        <v>291</v>
      </c>
      <c r="I18" s="66">
        <f t="shared" si="1"/>
        <v>208.57142857142856</v>
      </c>
      <c r="J18" s="66">
        <f t="shared" si="2"/>
        <v>283.24572930354793</v>
      </c>
      <c r="K18" s="66">
        <f t="shared" si="0"/>
        <v>190.32076533483399</v>
      </c>
      <c r="L18" s="66">
        <f t="shared" si="3"/>
        <v>-63.174772848743984</v>
      </c>
    </row>
    <row r="19" spans="2:12" s="57" customFormat="1" ht="19.5" customHeight="1">
      <c r="B19" s="88" t="s">
        <v>90</v>
      </c>
      <c r="C19" s="86">
        <v>67920</v>
      </c>
      <c r="D19" s="86">
        <v>45239</v>
      </c>
      <c r="E19" s="86">
        <v>9787</v>
      </c>
      <c r="F19" s="86">
        <v>-20426</v>
      </c>
      <c r="H19" s="88" t="s">
        <v>90</v>
      </c>
      <c r="I19" s="86">
        <f t="shared" si="1"/>
        <v>4410.3896103896104</v>
      </c>
      <c r="J19" s="86">
        <f t="shared" si="2"/>
        <v>2972.3390275952693</v>
      </c>
      <c r="K19" s="86">
        <f t="shared" si="0"/>
        <v>550.7597073719752</v>
      </c>
      <c r="L19" s="86">
        <f t="shared" si="3"/>
        <v>-1091.7156600748262</v>
      </c>
    </row>
    <row r="20" spans="2:12" s="57" customFormat="1" ht="19.5" customHeight="1">
      <c r="B20" s="49" t="s">
        <v>91</v>
      </c>
      <c r="C20" s="66">
        <v>-20065</v>
      </c>
      <c r="D20" s="66">
        <v>-12100</v>
      </c>
      <c r="E20" s="66">
        <v>-3609</v>
      </c>
      <c r="F20" s="66">
        <v>3275</v>
      </c>
      <c r="H20" s="49" t="s">
        <v>91</v>
      </c>
      <c r="I20" s="66">
        <f t="shared" si="1"/>
        <v>-1302.922077922078</v>
      </c>
      <c r="J20" s="66">
        <f t="shared" si="2"/>
        <v>-795.00657030223385</v>
      </c>
      <c r="K20" s="66">
        <f t="shared" si="0"/>
        <v>-203.09510410804728</v>
      </c>
      <c r="L20" s="66">
        <f t="shared" si="3"/>
        <v>175.04008551576698</v>
      </c>
    </row>
    <row r="21" spans="2:12" s="57" customFormat="1" ht="19.5" customHeight="1">
      <c r="B21" s="403" t="s">
        <v>92</v>
      </c>
      <c r="C21" s="404">
        <v>47855</v>
      </c>
      <c r="D21" s="404">
        <v>33139</v>
      </c>
      <c r="E21" s="404">
        <v>6178</v>
      </c>
      <c r="F21" s="404">
        <v>-17151</v>
      </c>
      <c r="H21" s="403" t="s">
        <v>92</v>
      </c>
      <c r="I21" s="404">
        <f t="shared" si="1"/>
        <v>3107.4675324675322</v>
      </c>
      <c r="J21" s="404">
        <f t="shared" si="2"/>
        <v>2177.3324572930355</v>
      </c>
      <c r="K21" s="404">
        <f t="shared" si="0"/>
        <v>347.66460326392797</v>
      </c>
      <c r="L21" s="404">
        <f t="shared" si="3"/>
        <v>-916.67557455905933</v>
      </c>
    </row>
    <row r="22" spans="2:12" ht="15" customHeight="1"/>
    <row r="23" spans="2:12" ht="15" customHeight="1">
      <c r="B23" s="15" t="s">
        <v>192</v>
      </c>
      <c r="H23" s="15" t="s">
        <v>192</v>
      </c>
    </row>
    <row r="24" spans="2:12" ht="24" customHeight="1">
      <c r="B24" s="542" t="s">
        <v>181</v>
      </c>
      <c r="C24" s="542"/>
      <c r="D24" s="15" t="e" vm="8">
        <v>#VALUE!</v>
      </c>
      <c r="E24" s="405"/>
      <c r="F24" s="405"/>
      <c r="H24" s="542" t="s">
        <v>181</v>
      </c>
      <c r="I24" s="542"/>
      <c r="J24" s="15" t="e" vm="8">
        <v>#VALUE!</v>
      </c>
      <c r="K24" s="406"/>
    </row>
    <row r="25" spans="2:12" ht="20.100000000000001" customHeight="1">
      <c r="B25" s="15" t="s">
        <v>237</v>
      </c>
      <c r="C25" s="540" t="s">
        <v>283</v>
      </c>
      <c r="D25" s="540"/>
      <c r="E25" s="540"/>
      <c r="F25" s="540"/>
      <c r="H25" s="15" t="s">
        <v>238</v>
      </c>
      <c r="I25" s="540" t="s">
        <v>283</v>
      </c>
      <c r="J25" s="540"/>
      <c r="K25" s="540"/>
      <c r="L25" s="540"/>
    </row>
    <row r="26" spans="2:12">
      <c r="B26" s="399"/>
      <c r="C26" s="400">
        <v>2021</v>
      </c>
      <c r="D26" s="400">
        <v>2022</v>
      </c>
      <c r="E26" s="400">
        <v>2023</v>
      </c>
      <c r="F26" s="400">
        <v>2024</v>
      </c>
      <c r="H26" s="399"/>
      <c r="I26" s="400">
        <v>2021</v>
      </c>
      <c r="J26" s="400">
        <v>2022</v>
      </c>
      <c r="K26" s="400">
        <v>2023</v>
      </c>
      <c r="L26" s="400">
        <v>2024</v>
      </c>
    </row>
    <row r="27" spans="2:12" s="57" customFormat="1" ht="12.95">
      <c r="B27" s="88" t="s">
        <v>92</v>
      </c>
      <c r="C27" s="89">
        <v>47855</v>
      </c>
      <c r="D27" s="89">
        <v>33139</v>
      </c>
      <c r="E27" s="89">
        <v>6178</v>
      </c>
      <c r="F27" s="89">
        <v>-17151</v>
      </c>
      <c r="H27" s="88" t="s">
        <v>92</v>
      </c>
      <c r="I27" s="89">
        <f>C27/$O$16</f>
        <v>3107.4675324675322</v>
      </c>
      <c r="J27" s="89">
        <f>D27/$O$15</f>
        <v>2177.3324572930355</v>
      </c>
      <c r="K27" s="89">
        <f>E27/$O$14</f>
        <v>347.66460326392797</v>
      </c>
      <c r="L27" s="89">
        <f>F27/$O$13</f>
        <v>-916.67557455905933</v>
      </c>
    </row>
    <row r="28" spans="2:12" s="57" customFormat="1" ht="12.95">
      <c r="B28" s="48" t="s">
        <v>182</v>
      </c>
      <c r="C28" s="222" t="s">
        <v>104</v>
      </c>
      <c r="D28" s="222" t="s">
        <v>104</v>
      </c>
      <c r="E28" s="222" t="s">
        <v>104</v>
      </c>
      <c r="F28" s="222" t="s">
        <v>104</v>
      </c>
      <c r="H28" s="48" t="s">
        <v>182</v>
      </c>
      <c r="I28" s="222"/>
      <c r="J28" s="222"/>
      <c r="K28" s="222"/>
      <c r="L28" s="222"/>
    </row>
    <row r="29" spans="2:12" s="57" customFormat="1" ht="39">
      <c r="B29" s="48" t="s">
        <v>183</v>
      </c>
      <c r="C29" s="222"/>
      <c r="D29" s="222" t="s">
        <v>104</v>
      </c>
      <c r="E29" s="222"/>
      <c r="F29" s="222" t="s">
        <v>104</v>
      </c>
      <c r="H29" s="48" t="s">
        <v>183</v>
      </c>
      <c r="I29" s="222"/>
      <c r="J29" s="222"/>
      <c r="K29" s="222"/>
      <c r="L29" s="222"/>
    </row>
    <row r="30" spans="2:12" s="57" customFormat="1" ht="12.95">
      <c r="B30" s="49" t="s">
        <v>292</v>
      </c>
      <c r="C30" s="77">
        <v>-4758</v>
      </c>
      <c r="D30" s="77">
        <v>4304</v>
      </c>
      <c r="E30" s="77">
        <v>5805</v>
      </c>
      <c r="F30" s="77">
        <v>-1432</v>
      </c>
      <c r="H30" s="49" t="s">
        <v>292</v>
      </c>
      <c r="I30" s="77">
        <f>C30/$O$16</f>
        <v>-308.96103896103898</v>
      </c>
      <c r="J30" s="77">
        <f>D30/$O$15</f>
        <v>282.78580814717475</v>
      </c>
      <c r="K30" s="77">
        <f>E30/$O$14</f>
        <v>326.67416994935286</v>
      </c>
      <c r="L30" s="77">
        <f>F30/$O$13</f>
        <v>-76.536611437733825</v>
      </c>
    </row>
    <row r="31" spans="2:12" s="57" customFormat="1" ht="12.95">
      <c r="B31" s="49" t="s">
        <v>293</v>
      </c>
      <c r="C31" s="77">
        <v>89</v>
      </c>
      <c r="D31" s="77">
        <v>-106</v>
      </c>
      <c r="E31" s="77">
        <v>-89</v>
      </c>
      <c r="F31" s="77">
        <v>673</v>
      </c>
      <c r="H31" s="49" t="s">
        <v>293</v>
      </c>
      <c r="I31" s="77">
        <f>C31/$O$16</f>
        <v>5.779220779220779</v>
      </c>
      <c r="J31" s="77">
        <f>D31/$O$15</f>
        <v>-6.9645203679369247</v>
      </c>
      <c r="K31" s="77">
        <f>E31/$O$14</f>
        <v>-5.0084411930219472</v>
      </c>
      <c r="L31" s="77">
        <f>F31/$O$13</f>
        <v>35.970069481560664</v>
      </c>
    </row>
    <row r="32" spans="2:12" s="57" customFormat="1" ht="26.1">
      <c r="B32" s="48" t="s">
        <v>186</v>
      </c>
      <c r="C32" s="77"/>
      <c r="D32" s="77" t="s">
        <v>104</v>
      </c>
      <c r="E32" s="77"/>
      <c r="F32" s="77" t="s">
        <v>104</v>
      </c>
      <c r="H32" s="48" t="s">
        <v>186</v>
      </c>
      <c r="I32" s="77"/>
      <c r="J32" s="77"/>
      <c r="K32" s="77"/>
      <c r="L32" s="77"/>
    </row>
    <row r="33" spans="2:13" s="57" customFormat="1" ht="26.1">
      <c r="B33" s="49" t="s">
        <v>294</v>
      </c>
      <c r="C33" s="77">
        <v>31</v>
      </c>
      <c r="D33" s="77">
        <v>38</v>
      </c>
      <c r="E33" s="77">
        <v>152</v>
      </c>
      <c r="F33" s="77">
        <v>32</v>
      </c>
      <c r="H33" s="49" t="s">
        <v>294</v>
      </c>
      <c r="I33" s="77">
        <f>C33/$O$16</f>
        <v>2.0129870129870131</v>
      </c>
      <c r="J33" s="77">
        <f>D33/$O$15</f>
        <v>2.4967148488830486</v>
      </c>
      <c r="K33" s="77">
        <f>E33/$O$14</f>
        <v>8.5537422622397301</v>
      </c>
      <c r="L33" s="77">
        <f>F33/$O$13</f>
        <v>1.7103153393907</v>
      </c>
    </row>
    <row r="34" spans="2:13" s="57" customFormat="1" ht="12.95">
      <c r="B34" s="49" t="s">
        <v>293</v>
      </c>
      <c r="C34" s="77" t="s">
        <v>246</v>
      </c>
      <c r="D34" s="77" t="s">
        <v>246</v>
      </c>
      <c r="E34" s="77" t="s">
        <v>246</v>
      </c>
      <c r="F34" s="77" t="s">
        <v>246</v>
      </c>
      <c r="H34" s="49" t="s">
        <v>293</v>
      </c>
      <c r="I34" s="77"/>
      <c r="J34" s="77"/>
      <c r="K34" s="77"/>
      <c r="L34" s="77"/>
    </row>
    <row r="35" spans="2:13" s="57" customFormat="1" ht="26.1">
      <c r="B35" s="49" t="s">
        <v>295</v>
      </c>
      <c r="C35" s="77">
        <v>-3</v>
      </c>
      <c r="D35" s="77">
        <v>1</v>
      </c>
      <c r="E35" s="77">
        <v>5</v>
      </c>
      <c r="F35" s="77">
        <v>-3</v>
      </c>
      <c r="H35" s="49" t="s">
        <v>295</v>
      </c>
      <c r="I35" s="77">
        <f>C35/$O$16</f>
        <v>-0.19480519480519481</v>
      </c>
      <c r="J35" s="77">
        <f>D35/$O$15</f>
        <v>6.5703022339027597E-2</v>
      </c>
      <c r="K35" s="77">
        <f>E35/$O$14</f>
        <v>0.28137310073157007</v>
      </c>
      <c r="L35" s="77">
        <f>F35/$O$13</f>
        <v>-0.16034206306787813</v>
      </c>
    </row>
    <row r="36" spans="2:13" s="57" customFormat="1" ht="12.95">
      <c r="B36" s="49" t="s">
        <v>293</v>
      </c>
      <c r="C36" s="77">
        <v>1</v>
      </c>
      <c r="D36" s="77" t="s">
        <v>246</v>
      </c>
      <c r="E36" s="77">
        <v>-1</v>
      </c>
      <c r="F36" s="77">
        <v>1</v>
      </c>
      <c r="H36" s="49" t="s">
        <v>293</v>
      </c>
      <c r="I36" s="77">
        <f>C36/$O$16</f>
        <v>6.4935064935064929E-2</v>
      </c>
      <c r="J36" s="77"/>
      <c r="K36" s="77">
        <f>E36/$O$14</f>
        <v>-5.6274620146314014E-2</v>
      </c>
      <c r="L36" s="77">
        <f>F36/$O$13</f>
        <v>5.3447354355959376E-2</v>
      </c>
    </row>
    <row r="37" spans="2:13" s="57" customFormat="1" ht="26.1">
      <c r="B37" s="88" t="s">
        <v>296</v>
      </c>
      <c r="C37" s="322">
        <v>-4640</v>
      </c>
      <c r="D37" s="322">
        <v>4237</v>
      </c>
      <c r="E37" s="322">
        <v>5872</v>
      </c>
      <c r="F37" s="322">
        <v>-729</v>
      </c>
      <c r="H37" s="88" t="s">
        <v>187</v>
      </c>
      <c r="I37" s="322">
        <f>C37/$O$16</f>
        <v>-301.2987012987013</v>
      </c>
      <c r="J37" s="322">
        <f>D37/$O$15</f>
        <v>278.38370565045989</v>
      </c>
      <c r="K37" s="322">
        <f>E37/$O$14</f>
        <v>330.44456949915588</v>
      </c>
      <c r="L37" s="322">
        <f>F37/$O$13</f>
        <v>-38.963121325494384</v>
      </c>
    </row>
    <row r="38" spans="2:13" s="57" customFormat="1" ht="26.1">
      <c r="B38" s="407" t="s">
        <v>297</v>
      </c>
      <c r="C38" s="408">
        <v>43215</v>
      </c>
      <c r="D38" s="408">
        <v>37376</v>
      </c>
      <c r="E38" s="408">
        <v>12050</v>
      </c>
      <c r="F38" s="408">
        <v>-17880</v>
      </c>
      <c r="H38" s="407" t="s">
        <v>190</v>
      </c>
      <c r="I38" s="408">
        <f>C38/$O$16</f>
        <v>2806.1688311688313</v>
      </c>
      <c r="J38" s="408">
        <f>D38/$O$15</f>
        <v>2455.7161629434954</v>
      </c>
      <c r="K38" s="408">
        <f>E38/$O$14</f>
        <v>678.10917276308385</v>
      </c>
      <c r="L38" s="408">
        <f>F38/$O$13</f>
        <v>-955.63869588455373</v>
      </c>
    </row>
    <row r="39" spans="2:13" ht="15" customHeight="1"/>
    <row r="40" spans="2:13" ht="15" customHeight="1">
      <c r="B40" s="15" t="s">
        <v>192</v>
      </c>
      <c r="H40" s="15" t="s">
        <v>192</v>
      </c>
    </row>
    <row r="41" spans="2:13" ht="24" customHeight="1">
      <c r="B41" s="542" t="s">
        <v>93</v>
      </c>
      <c r="C41" s="542"/>
      <c r="D41" s="15" t="e" vm="8">
        <v>#VALUE!</v>
      </c>
      <c r="E41" s="405"/>
      <c r="F41" s="409"/>
      <c r="H41" s="542" t="s">
        <v>93</v>
      </c>
      <c r="I41" s="542"/>
      <c r="J41" s="15" t="e" vm="8">
        <v>#VALUE!</v>
      </c>
      <c r="K41" s="405"/>
      <c r="L41" s="409"/>
    </row>
    <row r="42" spans="2:13" ht="20.100000000000001" customHeight="1">
      <c r="B42" s="15" t="s">
        <v>237</v>
      </c>
      <c r="C42" s="540" t="s">
        <v>283</v>
      </c>
      <c r="D42" s="540"/>
      <c r="E42" s="540"/>
      <c r="F42" s="540"/>
      <c r="H42" s="15" t="s">
        <v>261</v>
      </c>
      <c r="I42" s="540" t="s">
        <v>283</v>
      </c>
      <c r="J42" s="540"/>
      <c r="K42" s="540"/>
      <c r="L42" s="540"/>
    </row>
    <row r="43" spans="2:13" ht="18">
      <c r="B43" s="60"/>
      <c r="C43" s="400">
        <v>2021</v>
      </c>
      <c r="D43" s="400">
        <v>2022</v>
      </c>
      <c r="E43" s="400">
        <v>2023</v>
      </c>
      <c r="F43" s="400">
        <v>2024</v>
      </c>
      <c r="H43" s="60"/>
      <c r="I43" s="400">
        <v>2021</v>
      </c>
      <c r="J43" s="400">
        <v>2022</v>
      </c>
      <c r="K43" s="400">
        <v>2023</v>
      </c>
      <c r="L43" s="400">
        <v>2024</v>
      </c>
    </row>
    <row r="44" spans="2:13" s="57" customFormat="1" ht="12.95">
      <c r="B44" s="48" t="s">
        <v>94</v>
      </c>
      <c r="C44" s="396"/>
      <c r="D44" s="397"/>
      <c r="E44" s="397"/>
      <c r="F44" s="392" t="s">
        <v>104</v>
      </c>
      <c r="H44" s="48" t="s">
        <v>94</v>
      </c>
      <c r="I44" s="396"/>
      <c r="J44" s="392" t="s">
        <v>104</v>
      </c>
      <c r="K44" s="392" t="s">
        <v>104</v>
      </c>
      <c r="L44" s="392" t="s">
        <v>104</v>
      </c>
      <c r="M44" s="410" t="s">
        <v>104</v>
      </c>
    </row>
    <row r="45" spans="2:13" s="57" customFormat="1" ht="12.95">
      <c r="B45" s="48" t="s">
        <v>95</v>
      </c>
      <c r="C45" s="392" t="s">
        <v>104</v>
      </c>
      <c r="D45" s="392" t="s">
        <v>104</v>
      </c>
      <c r="E45" s="392"/>
      <c r="F45" s="392" t="s">
        <v>104</v>
      </c>
      <c r="H45" s="48" t="s">
        <v>95</v>
      </c>
      <c r="I45" s="392" t="s">
        <v>104</v>
      </c>
      <c r="J45" s="392"/>
      <c r="K45" s="392" t="s">
        <v>104</v>
      </c>
      <c r="L45" s="392" t="s">
        <v>104</v>
      </c>
    </row>
    <row r="46" spans="2:13" s="57" customFormat="1" ht="12.95">
      <c r="B46" s="49" t="s">
        <v>96</v>
      </c>
      <c r="C46" s="49">
        <v>57709</v>
      </c>
      <c r="D46" s="49">
        <v>64513</v>
      </c>
      <c r="E46" s="49">
        <v>71176</v>
      </c>
      <c r="F46" s="49">
        <v>63502</v>
      </c>
      <c r="H46" s="49" t="s">
        <v>96</v>
      </c>
      <c r="I46" s="411">
        <f>C46/$O$10</f>
        <v>4029.9581005586592</v>
      </c>
      <c r="J46" s="411">
        <f>'Impala Platinum'!D46/'Impala Platinum'!$O$9</f>
        <v>3965.1505838967428</v>
      </c>
      <c r="K46" s="411">
        <f t="shared" ref="K46:K54" si="4">E46/$O$8</f>
        <v>3775.9151193633948</v>
      </c>
      <c r="L46" s="411">
        <f t="shared" ref="L46:L54" si="5">F46/$O$7</f>
        <v>3491.0390324354039</v>
      </c>
    </row>
    <row r="47" spans="2:13" s="57" customFormat="1" ht="12.95">
      <c r="B47" s="49" t="s">
        <v>298</v>
      </c>
      <c r="C47" s="49">
        <v>90</v>
      </c>
      <c r="D47" s="49">
        <v>90</v>
      </c>
      <c r="E47" s="49">
        <v>88</v>
      </c>
      <c r="F47" s="49">
        <v>86</v>
      </c>
      <c r="H47" s="49" t="s">
        <v>298</v>
      </c>
      <c r="I47" s="411">
        <f>C47/$O$10</f>
        <v>6.2849162011173183</v>
      </c>
      <c r="J47" s="411">
        <f>'Impala Platinum'!D47/'Impala Platinum'!$O$9</f>
        <v>5.5316533497234177</v>
      </c>
      <c r="K47" s="411">
        <f t="shared" si="4"/>
        <v>4.6684350132625987</v>
      </c>
      <c r="L47" s="411">
        <f t="shared" si="5"/>
        <v>4.7278724573941719</v>
      </c>
    </row>
    <row r="48" spans="2:13" s="57" customFormat="1" ht="12.95">
      <c r="B48" s="49" t="s">
        <v>299</v>
      </c>
      <c r="C48" s="49"/>
      <c r="D48" s="49"/>
      <c r="E48" s="49">
        <v>9870</v>
      </c>
      <c r="F48" s="49">
        <v>3523</v>
      </c>
      <c r="H48" s="49" t="s">
        <v>299</v>
      </c>
      <c r="I48" s="411">
        <f>C48/$O$10</f>
        <v>0</v>
      </c>
      <c r="J48" s="411">
        <f>'Impala Platinum'!D48/'Impala Platinum'!$O$9</f>
        <v>0</v>
      </c>
      <c r="K48" s="411">
        <f t="shared" si="4"/>
        <v>523.60742705570283</v>
      </c>
      <c r="L48" s="411">
        <f t="shared" si="5"/>
        <v>193.67784496976358</v>
      </c>
    </row>
    <row r="49" spans="2:12" s="57" customFormat="1" ht="12.95">
      <c r="B49" s="49" t="s">
        <v>300</v>
      </c>
      <c r="C49" s="49">
        <v>7748</v>
      </c>
      <c r="D49" s="49">
        <v>26804</v>
      </c>
      <c r="E49" s="49">
        <v>12525</v>
      </c>
      <c r="F49" s="49">
        <v>10305</v>
      </c>
      <c r="H49" s="49" t="s">
        <v>300</v>
      </c>
      <c r="I49" s="411">
        <f>C49/$O$10</f>
        <v>541.06145251396651</v>
      </c>
      <c r="J49" s="411">
        <f>'Impala Platinum'!D49/'Impala Platinum'!$O$9</f>
        <v>1647.4492931776276</v>
      </c>
      <c r="K49" s="411">
        <f t="shared" si="4"/>
        <v>664.45623342175065</v>
      </c>
      <c r="L49" s="411">
        <f t="shared" si="5"/>
        <v>566.52006597031334</v>
      </c>
    </row>
    <row r="50" spans="2:12" s="57" customFormat="1" ht="26.1">
      <c r="B50" s="49" t="s">
        <v>294</v>
      </c>
      <c r="C50" s="49">
        <v>425</v>
      </c>
      <c r="D50" s="49">
        <v>463</v>
      </c>
      <c r="E50" s="49">
        <v>661</v>
      </c>
      <c r="F50" s="49">
        <v>693</v>
      </c>
      <c r="H50" s="49" t="s">
        <v>294</v>
      </c>
      <c r="I50" s="411">
        <f>C50/$O$10</f>
        <v>29.678770949720668</v>
      </c>
      <c r="J50" s="411">
        <f>'Impala Platinum'!D50/'Impala Platinum'!$O$9</f>
        <v>28.457283343577135</v>
      </c>
      <c r="K50" s="411">
        <f t="shared" si="4"/>
        <v>35.066312997347481</v>
      </c>
      <c r="L50" s="411">
        <f t="shared" si="5"/>
        <v>38.097855964815828</v>
      </c>
    </row>
    <row r="51" spans="2:12" s="57" customFormat="1" ht="12.95">
      <c r="B51" s="49" t="s">
        <v>301</v>
      </c>
      <c r="C51" s="49" t="s">
        <v>246</v>
      </c>
      <c r="D51" s="49">
        <v>315</v>
      </c>
      <c r="E51" s="49">
        <v>2506</v>
      </c>
      <c r="F51" s="49">
        <v>2776</v>
      </c>
      <c r="H51" s="49" t="s">
        <v>301</v>
      </c>
      <c r="I51" s="411"/>
      <c r="J51" s="411">
        <f>'Impala Platinum'!D51/'Impala Platinum'!$O$9</f>
        <v>19.360786724031961</v>
      </c>
      <c r="K51" s="411">
        <f t="shared" si="4"/>
        <v>132.9442970822281</v>
      </c>
      <c r="L51" s="411">
        <f t="shared" si="5"/>
        <v>152.61132490379327</v>
      </c>
    </row>
    <row r="52" spans="2:12" s="57" customFormat="1" ht="12.95">
      <c r="B52" s="49" t="s">
        <v>100</v>
      </c>
      <c r="C52" s="49">
        <v>84</v>
      </c>
      <c r="D52" s="49">
        <v>125</v>
      </c>
      <c r="E52" s="49">
        <v>1257</v>
      </c>
      <c r="F52" s="49">
        <v>1275</v>
      </c>
      <c r="H52" s="49" t="s">
        <v>100</v>
      </c>
      <c r="I52" s="411">
        <f>C52/$O$10</f>
        <v>5.8659217877094969</v>
      </c>
      <c r="J52" s="411">
        <f>'Impala Platinum'!D52/'Impala Platinum'!$O$9</f>
        <v>7.6828518746158574</v>
      </c>
      <c r="K52" s="411">
        <f t="shared" si="4"/>
        <v>66.684350132625994</v>
      </c>
      <c r="L52" s="411">
        <f t="shared" si="5"/>
        <v>70.09345794392523</v>
      </c>
    </row>
    <row r="53" spans="2:12" s="57" customFormat="1" ht="12.95">
      <c r="B53" s="49" t="s">
        <v>302</v>
      </c>
      <c r="C53" s="49">
        <v>3747</v>
      </c>
      <c r="D53" s="49">
        <v>3597</v>
      </c>
      <c r="E53" s="49">
        <v>3541</v>
      </c>
      <c r="F53" s="49">
        <v>208</v>
      </c>
      <c r="H53" s="49" t="s">
        <v>302</v>
      </c>
      <c r="I53" s="411">
        <f>C53/$O$10</f>
        <v>261.66201117318434</v>
      </c>
      <c r="J53" s="411">
        <f>'Impala Platinum'!D53/'Impala Platinum'!$O$9</f>
        <v>221.08174554394591</v>
      </c>
      <c r="K53" s="411">
        <f t="shared" si="4"/>
        <v>187.85145888594164</v>
      </c>
      <c r="L53" s="411">
        <f t="shared" si="5"/>
        <v>11.434854315557999</v>
      </c>
    </row>
    <row r="54" spans="2:12" s="57" customFormat="1" ht="12.95">
      <c r="B54" s="335" t="s">
        <v>103</v>
      </c>
      <c r="C54" s="335">
        <v>69803</v>
      </c>
      <c r="D54" s="335">
        <v>95907</v>
      </c>
      <c r="E54" s="335">
        <v>101624</v>
      </c>
      <c r="F54" s="335">
        <v>82368</v>
      </c>
      <c r="H54" s="335" t="s">
        <v>103</v>
      </c>
      <c r="I54" s="412">
        <f>C54/$O$10</f>
        <v>4874.5111731843572</v>
      </c>
      <c r="J54" s="412">
        <f>'Impala Platinum'!D54/'Impala Platinum'!$O$9</f>
        <v>5894.7141979102644</v>
      </c>
      <c r="K54" s="412">
        <f t="shared" si="4"/>
        <v>5391.1936339522545</v>
      </c>
      <c r="L54" s="412">
        <f t="shared" si="5"/>
        <v>4528.2023089609675</v>
      </c>
    </row>
    <row r="55" spans="2:12" s="57" customFormat="1" ht="12.95">
      <c r="B55" s="48" t="s">
        <v>15</v>
      </c>
      <c r="C55" s="49" t="s">
        <v>104</v>
      </c>
      <c r="D55" s="49" t="s">
        <v>104</v>
      </c>
      <c r="E55" s="49" t="s">
        <v>104</v>
      </c>
      <c r="F55" s="49" t="s">
        <v>104</v>
      </c>
      <c r="H55" s="48" t="s">
        <v>15</v>
      </c>
      <c r="I55" s="411"/>
      <c r="J55" s="411"/>
      <c r="K55" s="411"/>
      <c r="L55" s="411"/>
    </row>
    <row r="56" spans="2:12" s="57" customFormat="1" ht="12.95">
      <c r="B56" s="49" t="s">
        <v>106</v>
      </c>
      <c r="C56" s="49">
        <v>22711</v>
      </c>
      <c r="D56" s="49">
        <v>23899</v>
      </c>
      <c r="E56" s="49">
        <v>24320</v>
      </c>
      <c r="F56" s="49">
        <v>26578</v>
      </c>
      <c r="H56" s="49" t="s">
        <v>106</v>
      </c>
      <c r="I56" s="411">
        <f t="shared" ref="I56:I63" si="6">C56/$O$10</f>
        <v>1585.963687150838</v>
      </c>
      <c r="J56" s="411">
        <f>'Impala Platinum'!D56/'Impala Platinum'!$O$9</f>
        <v>1468.8998156115551</v>
      </c>
      <c r="K56" s="411">
        <f t="shared" ref="K56:K63" si="7">E56/$O$8</f>
        <v>1290.1856763925728</v>
      </c>
      <c r="L56" s="411">
        <f t="shared" ref="L56:L63" si="8">F56/$O$7</f>
        <v>1461.1324903793293</v>
      </c>
    </row>
    <row r="57" spans="2:12" s="57" customFormat="1" ht="12.95">
      <c r="B57" s="49" t="s">
        <v>107</v>
      </c>
      <c r="C57" s="49">
        <v>7308</v>
      </c>
      <c r="D57" s="49">
        <v>6209</v>
      </c>
      <c r="E57" s="49">
        <v>11310</v>
      </c>
      <c r="F57" s="49">
        <v>11826</v>
      </c>
      <c r="H57" s="49" t="s">
        <v>107</v>
      </c>
      <c r="I57" s="411">
        <f t="shared" si="6"/>
        <v>510.33519553072625</v>
      </c>
      <c r="J57" s="411">
        <f>'Impala Platinum'!D57/'Impala Platinum'!$O$9</f>
        <v>381.62261831591888</v>
      </c>
      <c r="K57" s="411">
        <f t="shared" si="7"/>
        <v>600</v>
      </c>
      <c r="L57" s="411">
        <f t="shared" si="8"/>
        <v>650.13743815283124</v>
      </c>
    </row>
    <row r="58" spans="2:12" s="57" customFormat="1" ht="12.95">
      <c r="B58" s="49" t="s">
        <v>303</v>
      </c>
      <c r="C58" s="49">
        <v>1064</v>
      </c>
      <c r="D58" s="49">
        <v>530</v>
      </c>
      <c r="E58" s="49">
        <v>1059</v>
      </c>
      <c r="F58" s="49">
        <v>791</v>
      </c>
      <c r="H58" s="49" t="s">
        <v>303</v>
      </c>
      <c r="I58" s="411">
        <f t="shared" si="6"/>
        <v>74.30167597765363</v>
      </c>
      <c r="J58" s="411">
        <f>'Impala Platinum'!D58/'Impala Platinum'!$O$9</f>
        <v>32.575291948371238</v>
      </c>
      <c r="K58" s="411">
        <f t="shared" si="7"/>
        <v>56.180371352785144</v>
      </c>
      <c r="L58" s="411">
        <f t="shared" si="8"/>
        <v>43.485431555799885</v>
      </c>
    </row>
    <row r="59" spans="2:12" s="57" customFormat="1" ht="12.95">
      <c r="B59" s="49" t="s">
        <v>100</v>
      </c>
      <c r="C59" s="49">
        <v>1006</v>
      </c>
      <c r="D59" s="49">
        <v>1056</v>
      </c>
      <c r="E59" s="49">
        <v>23</v>
      </c>
      <c r="F59" s="49">
        <v>34</v>
      </c>
      <c r="H59" s="49" t="s">
        <v>100</v>
      </c>
      <c r="I59" s="411">
        <f t="shared" si="6"/>
        <v>70.25139664804469</v>
      </c>
      <c r="J59" s="411">
        <f>'Impala Platinum'!D59/'Impala Platinum'!$O$9</f>
        <v>64.904732636754758</v>
      </c>
      <c r="K59" s="411">
        <f t="shared" si="7"/>
        <v>1.2201591511936338</v>
      </c>
      <c r="L59" s="411">
        <f t="shared" si="8"/>
        <v>1.8691588785046727</v>
      </c>
    </row>
    <row r="60" spans="2:12" s="57" customFormat="1" ht="12.95">
      <c r="B60" s="49" t="s">
        <v>302</v>
      </c>
      <c r="C60" s="49">
        <v>1109</v>
      </c>
      <c r="D60" s="49">
        <v>1981</v>
      </c>
      <c r="E60" s="49">
        <v>4230</v>
      </c>
      <c r="F60" s="49">
        <v>1729</v>
      </c>
      <c r="H60" s="49" t="s">
        <v>302</v>
      </c>
      <c r="I60" s="411">
        <f t="shared" si="6"/>
        <v>77.444134078212286</v>
      </c>
      <c r="J60" s="411">
        <f>'Impala Platinum'!D60/'Impala Platinum'!$O$9</f>
        <v>121.75783650891211</v>
      </c>
      <c r="K60" s="411">
        <f t="shared" si="7"/>
        <v>224.40318302387266</v>
      </c>
      <c r="L60" s="411">
        <f t="shared" si="8"/>
        <v>95.052226498075854</v>
      </c>
    </row>
    <row r="61" spans="2:12" s="57" customFormat="1" ht="12.95">
      <c r="B61" s="49" t="s">
        <v>111</v>
      </c>
      <c r="C61" s="49">
        <v>23474</v>
      </c>
      <c r="D61" s="49">
        <v>26505</v>
      </c>
      <c r="E61" s="49">
        <v>26820</v>
      </c>
      <c r="F61" s="49">
        <v>9629</v>
      </c>
      <c r="H61" s="49" t="s">
        <v>111</v>
      </c>
      <c r="I61" s="411">
        <f t="shared" si="6"/>
        <v>1639.2458100558658</v>
      </c>
      <c r="J61" s="411">
        <f>'Impala Platinum'!D61/'Impala Platinum'!$O$9</f>
        <v>1629.0719114935464</v>
      </c>
      <c r="K61" s="411">
        <f t="shared" si="7"/>
        <v>1422.8116710875331</v>
      </c>
      <c r="L61" s="411">
        <f t="shared" si="8"/>
        <v>529.35678944474978</v>
      </c>
    </row>
    <row r="62" spans="2:12" s="57" customFormat="1" ht="12.95">
      <c r="B62" s="335" t="s">
        <v>113</v>
      </c>
      <c r="C62" s="335">
        <v>56672</v>
      </c>
      <c r="D62" s="335">
        <v>60180</v>
      </c>
      <c r="E62" s="335">
        <v>67762</v>
      </c>
      <c r="F62" s="335">
        <v>50587</v>
      </c>
      <c r="H62" s="335" t="s">
        <v>113</v>
      </c>
      <c r="I62" s="412">
        <f t="shared" si="6"/>
        <v>3957.5418994413408</v>
      </c>
      <c r="J62" s="412">
        <f>'Impala Platinum'!D62/'Impala Platinum'!$O$9</f>
        <v>3698.8322065150583</v>
      </c>
      <c r="K62" s="412">
        <f t="shared" si="7"/>
        <v>3594.8010610079573</v>
      </c>
      <c r="L62" s="412">
        <f t="shared" si="8"/>
        <v>2781.0335349092907</v>
      </c>
    </row>
    <row r="63" spans="2:12" s="57" customFormat="1" ht="12.95">
      <c r="B63" s="407" t="s">
        <v>114</v>
      </c>
      <c r="C63" s="407">
        <v>126475</v>
      </c>
      <c r="D63" s="407">
        <v>156087</v>
      </c>
      <c r="E63" s="407">
        <v>169386</v>
      </c>
      <c r="F63" s="407">
        <v>132955</v>
      </c>
      <c r="H63" s="407" t="s">
        <v>114</v>
      </c>
      <c r="I63" s="413">
        <f t="shared" si="6"/>
        <v>8832.0530726256984</v>
      </c>
      <c r="J63" s="413">
        <f>'Impala Platinum'!D63/'Impala Platinum'!$O$9</f>
        <v>9593.5464044253222</v>
      </c>
      <c r="K63" s="413">
        <f t="shared" si="7"/>
        <v>8985.9946949602108</v>
      </c>
      <c r="L63" s="413">
        <f t="shared" si="8"/>
        <v>7309.2358438702577</v>
      </c>
    </row>
    <row r="64" spans="2:12" s="57" customFormat="1" ht="12.95">
      <c r="B64" s="48" t="s">
        <v>304</v>
      </c>
      <c r="C64" s="49" t="s">
        <v>104</v>
      </c>
      <c r="D64" s="49" t="s">
        <v>104</v>
      </c>
      <c r="E64" s="49" t="s">
        <v>104</v>
      </c>
      <c r="F64" s="49" t="s">
        <v>104</v>
      </c>
      <c r="H64" s="48" t="s">
        <v>304</v>
      </c>
      <c r="I64" s="411"/>
      <c r="J64" s="411"/>
      <c r="K64" s="411"/>
      <c r="L64" s="411"/>
    </row>
    <row r="65" spans="2:12" s="57" customFormat="1" ht="12.95">
      <c r="B65" s="49" t="s">
        <v>47</v>
      </c>
      <c r="C65" s="49"/>
      <c r="D65" s="49"/>
      <c r="E65" s="49"/>
      <c r="F65" s="49" t="s">
        <v>104</v>
      </c>
      <c r="H65" s="49" t="s">
        <v>47</v>
      </c>
      <c r="I65" s="411"/>
      <c r="J65" s="411"/>
      <c r="K65" s="411"/>
      <c r="L65" s="411"/>
    </row>
    <row r="66" spans="2:12" s="57" customFormat="1" ht="12.95">
      <c r="B66" s="49" t="s">
        <v>272</v>
      </c>
      <c r="C66" s="49">
        <v>21189</v>
      </c>
      <c r="D66" s="49">
        <v>23080</v>
      </c>
      <c r="E66" s="49">
        <v>25819</v>
      </c>
      <c r="F66" s="49">
        <v>31096</v>
      </c>
      <c r="H66" s="49" t="s">
        <v>272</v>
      </c>
      <c r="I66" s="411">
        <f t="shared" ref="I66:I81" si="9">C66/$O$10</f>
        <v>1479.6787709497207</v>
      </c>
      <c r="J66" s="411">
        <f>'Impala Platinum'!D66/'Impala Platinum'!$O$9</f>
        <v>1418.5617701290719</v>
      </c>
      <c r="K66" s="411">
        <f t="shared" ref="K66:K81" si="10">E66/$O$8</f>
        <v>1369.708222811671</v>
      </c>
      <c r="L66" s="411">
        <f t="shared" ref="L66:L73" si="11">F66/$O$7</f>
        <v>1709.5107201759208</v>
      </c>
    </row>
    <row r="67" spans="2:12" s="57" customFormat="1" ht="12.95">
      <c r="B67" s="49" t="s">
        <v>121</v>
      </c>
      <c r="C67" s="49">
        <v>59661</v>
      </c>
      <c r="D67" s="49">
        <v>81336</v>
      </c>
      <c r="E67" s="49">
        <v>74175</v>
      </c>
      <c r="F67" s="49">
        <v>44276</v>
      </c>
      <c r="H67" s="49" t="s">
        <v>121</v>
      </c>
      <c r="I67" s="411">
        <f t="shared" si="9"/>
        <v>4166.2709497206706</v>
      </c>
      <c r="J67" s="411">
        <f>'Impala Platinum'!D67/'Impala Platinum'!$O$9</f>
        <v>4999.1395205900435</v>
      </c>
      <c r="K67" s="411">
        <f t="shared" si="10"/>
        <v>3935.0132625994693</v>
      </c>
      <c r="L67" s="411">
        <f t="shared" si="11"/>
        <v>2434.084661902144</v>
      </c>
    </row>
    <row r="68" spans="2:12" s="57" customFormat="1" ht="12.95">
      <c r="B68" s="49" t="s">
        <v>273</v>
      </c>
      <c r="C68" s="49">
        <v>4917</v>
      </c>
      <c r="D68" s="49">
        <v>8718</v>
      </c>
      <c r="E68" s="49">
        <v>13920</v>
      </c>
      <c r="F68" s="49">
        <v>13321</v>
      </c>
      <c r="H68" s="49" t="s">
        <v>273</v>
      </c>
      <c r="I68" s="411">
        <f t="shared" si="9"/>
        <v>343.36592178770951</v>
      </c>
      <c r="J68" s="411">
        <f>'Impala Platinum'!D68/'Impala Platinum'!$O$9</f>
        <v>535.83282114320832</v>
      </c>
      <c r="K68" s="411">
        <f t="shared" si="10"/>
        <v>738.46153846153845</v>
      </c>
      <c r="L68" s="411">
        <f t="shared" si="11"/>
        <v>732.32545354590434</v>
      </c>
    </row>
    <row r="69" spans="2:12" s="57" customFormat="1" ht="12.95">
      <c r="B69" s="49" t="s">
        <v>305</v>
      </c>
      <c r="C69" s="49">
        <v>1799</v>
      </c>
      <c r="D69" s="49">
        <v>1262</v>
      </c>
      <c r="E69" s="49">
        <v>480</v>
      </c>
      <c r="F69" s="49">
        <v>2221</v>
      </c>
      <c r="H69" s="49" t="s">
        <v>305</v>
      </c>
      <c r="I69" s="411">
        <f t="shared" si="9"/>
        <v>125.62849162011173</v>
      </c>
      <c r="J69" s="411">
        <f>'Impala Platinum'!D69/'Impala Platinum'!$O$9</f>
        <v>77.566072526121701</v>
      </c>
      <c r="K69" s="411">
        <f t="shared" si="10"/>
        <v>25.46419098143236</v>
      </c>
      <c r="L69" s="411">
        <f t="shared" si="11"/>
        <v>122.10005497526113</v>
      </c>
    </row>
    <row r="70" spans="2:12" s="57" customFormat="1" ht="12.95">
      <c r="B70" s="49" t="s">
        <v>306</v>
      </c>
      <c r="C70" s="49">
        <v>263</v>
      </c>
      <c r="D70" s="49">
        <v>301</v>
      </c>
      <c r="E70" s="49">
        <v>453</v>
      </c>
      <c r="F70" s="49">
        <v>485</v>
      </c>
      <c r="H70" s="49" t="s">
        <v>306</v>
      </c>
      <c r="I70" s="411">
        <f t="shared" si="9"/>
        <v>18.365921787709496</v>
      </c>
      <c r="J70" s="411">
        <f>'Impala Platinum'!D70/'Impala Platinum'!$O$9</f>
        <v>18.500307314074984</v>
      </c>
      <c r="K70" s="411">
        <f t="shared" si="10"/>
        <v>24.031830238726787</v>
      </c>
      <c r="L70" s="411">
        <f t="shared" si="11"/>
        <v>26.663001649257833</v>
      </c>
    </row>
    <row r="71" spans="2:12" s="57" customFormat="1" ht="26.1">
      <c r="B71" s="49" t="s">
        <v>307</v>
      </c>
      <c r="C71" s="49">
        <v>87829</v>
      </c>
      <c r="D71" s="49">
        <v>114697</v>
      </c>
      <c r="E71" s="49">
        <v>114847</v>
      </c>
      <c r="F71" s="49">
        <v>91399</v>
      </c>
      <c r="H71" s="49" t="s">
        <v>307</v>
      </c>
      <c r="I71" s="411">
        <f t="shared" si="9"/>
        <v>6133.3100558659216</v>
      </c>
      <c r="J71" s="411">
        <f>'Impala Platinum'!D71/'Impala Platinum'!$O$9</f>
        <v>7049.6004917025202</v>
      </c>
      <c r="K71" s="411">
        <f t="shared" si="10"/>
        <v>6092.6790450928374</v>
      </c>
      <c r="L71" s="411">
        <f t="shared" si="11"/>
        <v>5024.6838922484876</v>
      </c>
    </row>
    <row r="72" spans="2:12" s="57" customFormat="1" ht="12.95">
      <c r="B72" s="49" t="s">
        <v>308</v>
      </c>
      <c r="C72" s="49">
        <v>2847</v>
      </c>
      <c r="D72" s="49">
        <v>4594</v>
      </c>
      <c r="E72" s="49">
        <v>11188</v>
      </c>
      <c r="F72" s="49">
        <v>5226</v>
      </c>
      <c r="H72" s="49" t="s">
        <v>308</v>
      </c>
      <c r="I72" s="411">
        <f t="shared" si="9"/>
        <v>198.81284916201116</v>
      </c>
      <c r="J72" s="411">
        <f>'Impala Platinum'!D72/'Impala Platinum'!$O$9</f>
        <v>282.36017209588198</v>
      </c>
      <c r="K72" s="411">
        <f t="shared" si="10"/>
        <v>593.52785145888595</v>
      </c>
      <c r="L72" s="411">
        <f t="shared" si="11"/>
        <v>287.30071467839468</v>
      </c>
    </row>
    <row r="73" spans="2:12" s="57" customFormat="1" ht="12.95">
      <c r="B73" s="49" t="s">
        <v>309</v>
      </c>
      <c r="C73" s="49">
        <v>90676</v>
      </c>
      <c r="D73" s="49">
        <v>119291</v>
      </c>
      <c r="E73" s="49">
        <v>126035</v>
      </c>
      <c r="F73" s="49">
        <v>96625</v>
      </c>
      <c r="H73" s="49" t="s">
        <v>309</v>
      </c>
      <c r="I73" s="411">
        <f t="shared" si="9"/>
        <v>6332.1229050279326</v>
      </c>
      <c r="J73" s="411">
        <f>'Impala Platinum'!D73/'Impala Platinum'!$O$9</f>
        <v>7331.9606637984025</v>
      </c>
      <c r="K73" s="411">
        <f t="shared" si="10"/>
        <v>6686.2068965517237</v>
      </c>
      <c r="L73" s="411">
        <f t="shared" si="11"/>
        <v>5311.9846069268824</v>
      </c>
    </row>
    <row r="74" spans="2:12" s="57" customFormat="1" ht="12.95">
      <c r="B74" s="48" t="s">
        <v>56</v>
      </c>
      <c r="C74" s="49"/>
      <c r="D74" s="49"/>
      <c r="E74" s="49"/>
      <c r="F74" s="49" t="s">
        <v>104</v>
      </c>
      <c r="H74" s="48" t="s">
        <v>56</v>
      </c>
      <c r="I74" s="411">
        <f t="shared" si="9"/>
        <v>0</v>
      </c>
      <c r="J74" s="411">
        <f>'Impala Platinum'!D74/'Impala Platinum'!$O$9</f>
        <v>0</v>
      </c>
      <c r="K74" s="411">
        <f t="shared" si="10"/>
        <v>0</v>
      </c>
      <c r="L74" s="411"/>
    </row>
    <row r="75" spans="2:12" s="57" customFormat="1" ht="12.95">
      <c r="B75" s="49" t="s">
        <v>310</v>
      </c>
      <c r="C75" s="49">
        <v>14405</v>
      </c>
      <c r="D75" s="49">
        <v>16795</v>
      </c>
      <c r="E75" s="49">
        <v>19140</v>
      </c>
      <c r="F75" s="49">
        <v>13332</v>
      </c>
      <c r="H75" s="49" t="s">
        <v>310</v>
      </c>
      <c r="I75" s="411">
        <f t="shared" si="9"/>
        <v>1005.9357541899441</v>
      </c>
      <c r="J75" s="411">
        <f>'Impala Platinum'!D75/'Impala Platinum'!$O$9</f>
        <v>1032.2679778733866</v>
      </c>
      <c r="K75" s="411">
        <f t="shared" si="10"/>
        <v>1015.3846153846154</v>
      </c>
      <c r="L75" s="411">
        <f>F75/$O$7</f>
        <v>732.93018141836171</v>
      </c>
    </row>
    <row r="76" spans="2:12" s="57" customFormat="1" ht="12.95">
      <c r="B76" s="49" t="s">
        <v>280</v>
      </c>
      <c r="C76" s="49">
        <v>2239</v>
      </c>
      <c r="D76" s="49">
        <v>2214</v>
      </c>
      <c r="E76" s="49">
        <v>2734</v>
      </c>
      <c r="F76" s="49">
        <v>2855</v>
      </c>
      <c r="H76" s="49" t="s">
        <v>280</v>
      </c>
      <c r="I76" s="411">
        <f t="shared" si="9"/>
        <v>156.35474860335196</v>
      </c>
      <c r="J76" s="411">
        <f>'Impala Platinum'!D76/'Impala Platinum'!$O$9</f>
        <v>136.07867240319607</v>
      </c>
      <c r="K76" s="411">
        <f t="shared" si="10"/>
        <v>145.03978779840847</v>
      </c>
      <c r="L76" s="411">
        <f>F76/$O$7</f>
        <v>156.95437053326003</v>
      </c>
    </row>
    <row r="77" spans="2:12" s="57" customFormat="1" ht="12.95">
      <c r="B77" s="49" t="s">
        <v>311</v>
      </c>
      <c r="C77" s="49"/>
      <c r="D77" s="49"/>
      <c r="E77" s="49">
        <v>1238</v>
      </c>
      <c r="F77" s="49">
        <v>1259</v>
      </c>
      <c r="H77" s="49" t="s">
        <v>311</v>
      </c>
      <c r="I77" s="411">
        <f t="shared" si="9"/>
        <v>0</v>
      </c>
      <c r="J77" s="411">
        <f>'Impala Platinum'!D77/'Impala Platinum'!$O$9</f>
        <v>0</v>
      </c>
      <c r="K77" s="411">
        <f t="shared" si="10"/>
        <v>65.676392572944295</v>
      </c>
      <c r="L77" s="411">
        <f>F77/$O$7</f>
        <v>69.213853765805382</v>
      </c>
    </row>
    <row r="78" spans="2:12" s="57" customFormat="1" ht="12.95">
      <c r="B78" s="49" t="s">
        <v>278</v>
      </c>
      <c r="C78" s="49">
        <v>1087</v>
      </c>
      <c r="D78" s="49">
        <v>957</v>
      </c>
      <c r="E78" s="49">
        <v>2255</v>
      </c>
      <c r="F78" s="49">
        <v>1912</v>
      </c>
      <c r="H78" s="49" t="s">
        <v>278</v>
      </c>
      <c r="I78" s="411">
        <f t="shared" si="9"/>
        <v>75.907821229050285</v>
      </c>
      <c r="J78" s="411">
        <f>'Impala Platinum'!D78/'Impala Platinum'!$O$9</f>
        <v>58.819913952059004</v>
      </c>
      <c r="K78" s="411">
        <f t="shared" si="10"/>
        <v>119.6286472148541</v>
      </c>
      <c r="L78" s="411">
        <f>F78/$O$7</f>
        <v>105.1126992853216</v>
      </c>
    </row>
    <row r="79" spans="2:12" s="57" customFormat="1" ht="12.95">
      <c r="B79" s="49" t="s">
        <v>223</v>
      </c>
      <c r="C79" s="49">
        <v>24</v>
      </c>
      <c r="D79" s="49">
        <v>16</v>
      </c>
      <c r="E79" s="49">
        <v>8</v>
      </c>
      <c r="F79" s="49" t="s">
        <v>246</v>
      </c>
      <c r="H79" s="49" t="s">
        <v>223</v>
      </c>
      <c r="I79" s="411">
        <f t="shared" si="9"/>
        <v>1.6759776536312849</v>
      </c>
      <c r="J79" s="411">
        <f>'Impala Platinum'!D79/'Impala Platinum'!$O$9</f>
        <v>0.98340503995082973</v>
      </c>
      <c r="K79" s="411">
        <f t="shared" si="10"/>
        <v>0.42440318302387264</v>
      </c>
      <c r="L79" s="411"/>
    </row>
    <row r="80" spans="2:12" s="57" customFormat="1" ht="12.95">
      <c r="B80" s="49" t="s">
        <v>279</v>
      </c>
      <c r="C80" s="49">
        <v>251</v>
      </c>
      <c r="D80" s="49">
        <v>227</v>
      </c>
      <c r="E80" s="49">
        <v>304</v>
      </c>
      <c r="F80" s="49">
        <v>128</v>
      </c>
      <c r="H80" s="49" t="s">
        <v>279</v>
      </c>
      <c r="I80" s="411">
        <f t="shared" si="9"/>
        <v>17.527932960893853</v>
      </c>
      <c r="J80" s="411">
        <f>'Impala Platinum'!D80/'Impala Platinum'!$O$9</f>
        <v>13.952059004302397</v>
      </c>
      <c r="K80" s="411">
        <f t="shared" si="10"/>
        <v>16.127320954907162</v>
      </c>
      <c r="L80" s="411">
        <f>F80/$O$7</f>
        <v>7.0368334249587683</v>
      </c>
    </row>
    <row r="81" spans="2:12" s="57" customFormat="1" ht="12.95">
      <c r="B81" s="335" t="s">
        <v>132</v>
      </c>
      <c r="C81" s="335">
        <v>18006</v>
      </c>
      <c r="D81" s="335">
        <v>20209</v>
      </c>
      <c r="E81" s="335">
        <v>25679</v>
      </c>
      <c r="F81" s="335">
        <v>19486</v>
      </c>
      <c r="H81" s="335" t="s">
        <v>132</v>
      </c>
      <c r="I81" s="412">
        <f t="shared" si="9"/>
        <v>1257.4022346368715</v>
      </c>
      <c r="J81" s="412">
        <f>'Impala Platinum'!D81/'Impala Platinum'!$O$9</f>
        <v>1242.102028272895</v>
      </c>
      <c r="K81" s="412">
        <f t="shared" si="10"/>
        <v>1362.2811671087532</v>
      </c>
      <c r="L81" s="412">
        <f>F81/$O$7</f>
        <v>1071.2479384277074</v>
      </c>
    </row>
    <row r="82" spans="2:12" s="57" customFormat="1" ht="12.95">
      <c r="B82" s="48" t="s">
        <v>16</v>
      </c>
      <c r="C82" s="49" t="s">
        <v>104</v>
      </c>
      <c r="D82" s="49" t="s">
        <v>104</v>
      </c>
      <c r="E82" s="49" t="s">
        <v>104</v>
      </c>
      <c r="F82" s="49" t="s">
        <v>104</v>
      </c>
      <c r="H82" s="48" t="s">
        <v>16</v>
      </c>
      <c r="I82" s="411"/>
      <c r="J82" s="411"/>
      <c r="K82" s="411"/>
      <c r="L82" s="411"/>
    </row>
    <row r="83" spans="2:12" s="57" customFormat="1" ht="12.95">
      <c r="B83" s="49" t="s">
        <v>134</v>
      </c>
      <c r="C83" s="49">
        <v>16190</v>
      </c>
      <c r="D83" s="49">
        <v>15428</v>
      </c>
      <c r="E83" s="49">
        <v>16041</v>
      </c>
      <c r="F83" s="49">
        <v>14798</v>
      </c>
      <c r="H83" s="49" t="s">
        <v>134</v>
      </c>
      <c r="I83" s="411">
        <f>C83/$O$10</f>
        <v>1130.5865921787708</v>
      </c>
      <c r="J83" s="411">
        <f>'Impala Platinum'!D83/'Impala Platinum'!$O$9</f>
        <v>948.24830977258762</v>
      </c>
      <c r="K83" s="411">
        <f t="shared" ref="K83:K92" si="12">E83/$O$8</f>
        <v>850.98143236074259</v>
      </c>
      <c r="L83" s="411">
        <f t="shared" ref="L83:L92" si="13">F83/$O$7</f>
        <v>813.52391423859262</v>
      </c>
    </row>
    <row r="84" spans="2:12" s="57" customFormat="1" ht="12.95">
      <c r="B84" s="49" t="s">
        <v>312</v>
      </c>
      <c r="C84" s="49">
        <v>653</v>
      </c>
      <c r="D84" s="49">
        <v>533</v>
      </c>
      <c r="E84" s="49">
        <v>242</v>
      </c>
      <c r="F84" s="49">
        <v>173</v>
      </c>
      <c r="H84" s="49" t="s">
        <v>312</v>
      </c>
      <c r="I84" s="411">
        <f>C84/$O$10</f>
        <v>45.600558659217874</v>
      </c>
      <c r="J84" s="411">
        <f>'Impala Platinum'!D84/'Impala Platinum'!$O$9</f>
        <v>32.759680393362018</v>
      </c>
      <c r="K84" s="411">
        <f t="shared" si="12"/>
        <v>12.838196286472147</v>
      </c>
      <c r="L84" s="411">
        <f t="shared" si="13"/>
        <v>9.5107201759208344</v>
      </c>
    </row>
    <row r="85" spans="2:12" s="57" customFormat="1" ht="12.95">
      <c r="B85" s="49" t="s">
        <v>280</v>
      </c>
      <c r="C85" s="49">
        <v>100</v>
      </c>
      <c r="D85" s="49">
        <v>98</v>
      </c>
      <c r="E85" s="49">
        <v>94</v>
      </c>
      <c r="F85" s="49">
        <v>55</v>
      </c>
      <c r="H85" s="49" t="s">
        <v>280</v>
      </c>
      <c r="I85" s="411">
        <f>C85/$O$10</f>
        <v>6.983240223463687</v>
      </c>
      <c r="J85" s="411">
        <f>'Impala Platinum'!D85/'Impala Platinum'!$O$9</f>
        <v>6.0233558696988325</v>
      </c>
      <c r="K85" s="411">
        <f t="shared" si="12"/>
        <v>4.9867374005305036</v>
      </c>
      <c r="L85" s="411">
        <f t="shared" si="13"/>
        <v>3.0236393622869708</v>
      </c>
    </row>
    <row r="86" spans="2:12" s="57" customFormat="1" ht="12.95">
      <c r="B86" s="49" t="s">
        <v>311</v>
      </c>
      <c r="C86" s="49" t="s">
        <v>246</v>
      </c>
      <c r="D86" s="49" t="s">
        <v>246</v>
      </c>
      <c r="E86" s="49">
        <v>144</v>
      </c>
      <c r="F86" s="49">
        <v>240</v>
      </c>
      <c r="H86" s="49" t="s">
        <v>311</v>
      </c>
      <c r="I86" s="411"/>
      <c r="J86" s="411"/>
      <c r="K86" s="411">
        <f t="shared" si="12"/>
        <v>7.6392572944297079</v>
      </c>
      <c r="L86" s="411">
        <f t="shared" si="13"/>
        <v>13.19406267179769</v>
      </c>
    </row>
    <row r="87" spans="2:12" s="57" customFormat="1" ht="12.95">
      <c r="B87" s="49" t="s">
        <v>278</v>
      </c>
      <c r="C87" s="49">
        <v>241</v>
      </c>
      <c r="D87" s="49">
        <v>250</v>
      </c>
      <c r="E87" s="49">
        <v>335</v>
      </c>
      <c r="F87" s="49">
        <v>1429</v>
      </c>
      <c r="H87" s="49" t="s">
        <v>278</v>
      </c>
      <c r="I87" s="411">
        <f t="shared" ref="I87:I92" si="14">C87/$O$10</f>
        <v>16.829608938547487</v>
      </c>
      <c r="J87" s="411">
        <f>'Impala Platinum'!D87/'Impala Platinum'!$O$9</f>
        <v>15.365703749231715</v>
      </c>
      <c r="K87" s="411">
        <f t="shared" si="12"/>
        <v>17.771883289124666</v>
      </c>
      <c r="L87" s="411">
        <f t="shared" si="13"/>
        <v>78.559648158328741</v>
      </c>
    </row>
    <row r="88" spans="2:12" s="57" customFormat="1" ht="12.95">
      <c r="B88" s="49" t="s">
        <v>223</v>
      </c>
      <c r="C88" s="49">
        <v>28</v>
      </c>
      <c r="D88" s="49">
        <v>34</v>
      </c>
      <c r="E88" s="49">
        <v>263</v>
      </c>
      <c r="F88" s="49">
        <v>49</v>
      </c>
      <c r="H88" s="49" t="s">
        <v>223</v>
      </c>
      <c r="I88" s="411">
        <f t="shared" si="14"/>
        <v>1.9553072625698324</v>
      </c>
      <c r="J88" s="411">
        <f>'Impala Platinum'!D88/'Impala Platinum'!$O$9</f>
        <v>2.0897357098955132</v>
      </c>
      <c r="K88" s="411">
        <f t="shared" si="12"/>
        <v>13.952254641909814</v>
      </c>
      <c r="L88" s="411">
        <f t="shared" si="13"/>
        <v>2.6937877954920282</v>
      </c>
    </row>
    <row r="89" spans="2:12" s="57" customFormat="1" ht="12.95">
      <c r="B89" s="49" t="s">
        <v>279</v>
      </c>
      <c r="C89" s="49">
        <v>581</v>
      </c>
      <c r="D89" s="49">
        <v>244</v>
      </c>
      <c r="E89" s="49">
        <v>553</v>
      </c>
      <c r="F89" s="49">
        <v>100</v>
      </c>
      <c r="H89" s="49" t="s">
        <v>279</v>
      </c>
      <c r="I89" s="411">
        <f t="shared" si="14"/>
        <v>40.572625698324025</v>
      </c>
      <c r="J89" s="411">
        <f>'Impala Platinum'!D89/'Impala Platinum'!$O$9</f>
        <v>14.996926859250154</v>
      </c>
      <c r="K89" s="411">
        <f t="shared" si="12"/>
        <v>29.336870026525197</v>
      </c>
      <c r="L89" s="411">
        <f t="shared" si="13"/>
        <v>5.4975261132490374</v>
      </c>
    </row>
    <row r="90" spans="2:12" s="57" customFormat="1" ht="12.95">
      <c r="B90" s="335" t="s">
        <v>140</v>
      </c>
      <c r="C90" s="335">
        <v>17793</v>
      </c>
      <c r="D90" s="335">
        <v>16587</v>
      </c>
      <c r="E90" s="335">
        <v>17672</v>
      </c>
      <c r="F90" s="335">
        <v>16844</v>
      </c>
      <c r="H90" s="335" t="s">
        <v>140</v>
      </c>
      <c r="I90" s="412">
        <f t="shared" si="14"/>
        <v>1242.5279329608938</v>
      </c>
      <c r="J90" s="412">
        <f>'Impala Platinum'!D90/'Impala Platinum'!$O$9</f>
        <v>1019.4837123540259</v>
      </c>
      <c r="K90" s="412">
        <f t="shared" si="12"/>
        <v>937.50663129973464</v>
      </c>
      <c r="L90" s="412">
        <f t="shared" si="13"/>
        <v>926.00329851566789</v>
      </c>
    </row>
    <row r="91" spans="2:12" s="57" customFormat="1" ht="12.95">
      <c r="B91" s="339" t="s">
        <v>141</v>
      </c>
      <c r="C91" s="339">
        <v>35799</v>
      </c>
      <c r="D91" s="339">
        <v>36796</v>
      </c>
      <c r="E91" s="339">
        <v>43351</v>
      </c>
      <c r="F91" s="339">
        <v>36330</v>
      </c>
      <c r="H91" s="339" t="s">
        <v>141</v>
      </c>
      <c r="I91" s="414">
        <f t="shared" si="14"/>
        <v>2499.9301675977654</v>
      </c>
      <c r="J91" s="414">
        <f>'Impala Platinum'!D91/'Impala Platinum'!$O$9</f>
        <v>2261.5857406269206</v>
      </c>
      <c r="K91" s="414">
        <f t="shared" si="12"/>
        <v>2299.787798408488</v>
      </c>
      <c r="L91" s="414">
        <f t="shared" si="13"/>
        <v>1997.2512369433753</v>
      </c>
    </row>
    <row r="92" spans="2:12" s="57" customFormat="1" ht="12.95">
      <c r="B92" s="407" t="s">
        <v>142</v>
      </c>
      <c r="C92" s="407">
        <v>126475</v>
      </c>
      <c r="D92" s="407">
        <v>156087</v>
      </c>
      <c r="E92" s="407">
        <v>169386</v>
      </c>
      <c r="F92" s="407">
        <v>132955</v>
      </c>
      <c r="H92" s="407" t="s">
        <v>142</v>
      </c>
      <c r="I92" s="413">
        <f t="shared" si="14"/>
        <v>8832.0530726256984</v>
      </c>
      <c r="J92" s="413">
        <f>'Impala Platinum'!D92/'Impala Platinum'!$O$9</f>
        <v>9593.5464044253222</v>
      </c>
      <c r="K92" s="413">
        <f t="shared" si="12"/>
        <v>8985.9946949602108</v>
      </c>
      <c r="L92" s="413">
        <f t="shared" si="13"/>
        <v>7309.2358438702577</v>
      </c>
    </row>
    <row r="95" spans="2:12">
      <c r="B95" s="415"/>
      <c r="C95" s="416"/>
      <c r="D95" s="416"/>
      <c r="E95" s="417"/>
      <c r="F95" s="416"/>
    </row>
    <row r="96" spans="2:12">
      <c r="B96" s="415"/>
      <c r="C96" s="416"/>
      <c r="E96" s="417"/>
      <c r="F96" s="416"/>
    </row>
    <row r="97" spans="3:6">
      <c r="C97" s="418"/>
      <c r="D97" s="418"/>
      <c r="E97" s="418"/>
      <c r="F97" s="418"/>
    </row>
  </sheetData>
  <mergeCells count="12">
    <mergeCell ref="C42:F42"/>
    <mergeCell ref="I42:L42"/>
    <mergeCell ref="I4:L4"/>
    <mergeCell ref="B3:C3"/>
    <mergeCell ref="H3:I3"/>
    <mergeCell ref="B24:C24"/>
    <mergeCell ref="H24:I24"/>
    <mergeCell ref="B41:C41"/>
    <mergeCell ref="H41:I41"/>
    <mergeCell ref="C4:F4"/>
    <mergeCell ref="C25:F25"/>
    <mergeCell ref="I25:L25"/>
  </mergeCells>
  <printOptions horizontalCentered="1"/>
  <pageMargins left="0.25" right="0.25" top="0.75" bottom="0.75" header="0.3" footer="0.3"/>
  <pageSetup scale="72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  <pageSetUpPr autoPageBreaks="0"/>
  </sheetPr>
  <dimension ref="B1:E7"/>
  <sheetViews>
    <sheetView showGridLines="0" zoomScaleNormal="100" workbookViewId="0"/>
  </sheetViews>
  <sheetFormatPr defaultColWidth="8.85546875" defaultRowHeight="19.5" customHeight="1"/>
  <cols>
    <col min="1" max="1" width="2.140625" customWidth="1"/>
    <col min="2" max="2" width="4.28515625" customWidth="1"/>
    <col min="3" max="3" width="30.7109375" customWidth="1"/>
    <col min="6" max="6" width="9.140625" customWidth="1"/>
  </cols>
  <sheetData>
    <row r="1" spans="2:5" ht="8.25" customHeight="1">
      <c r="E1" s="2"/>
    </row>
    <row r="2" spans="2:5" ht="38.25" customHeight="1" thickBot="1">
      <c r="B2" s="10" t="s">
        <v>313</v>
      </c>
    </row>
    <row r="3" spans="2:5" ht="19.5" customHeight="1">
      <c r="B3" s="27">
        <v>1</v>
      </c>
      <c r="C3" s="28" t="s">
        <v>75</v>
      </c>
      <c r="D3" s="24" t="str">
        <f>IF(ISBLANK(C3),"← Выберите значение из раскрывающегося списка",IF(COUNTIF($C$3:C3,C3)&gt;1,"Вы выбрали значение "&amp;C3&amp;" дважды.",""))</f>
        <v/>
      </c>
    </row>
    <row r="4" spans="2:5" ht="19.5" customHeight="1">
      <c r="B4" s="29">
        <v>2</v>
      </c>
      <c r="C4" s="44" t="s">
        <v>79</v>
      </c>
      <c r="D4" s="24" t="str">
        <f>IF(ISBLANK(C4),"← Выберите значение из раскрывающегося списка",IF(COUNTIF($C$3:C4,C4)&gt;1,"Вы выбрали значение "&amp;C4&amp;" дважды.",""))</f>
        <v/>
      </c>
    </row>
    <row r="5" spans="2:5" ht="19.5" customHeight="1">
      <c r="B5" s="29">
        <v>3</v>
      </c>
      <c r="C5" s="45" t="s">
        <v>85</v>
      </c>
      <c r="D5" s="24" t="str">
        <f>IF(ISBLANK(C5),"← Выберите значение из раскрывающегося списка",IF(COUNTIF($C$3:C5,C5)&gt;1,"Вы выбрали значение "&amp;C5&amp;" дважды.",""))</f>
        <v/>
      </c>
    </row>
    <row r="6" spans="2:5" ht="19.5" customHeight="1">
      <c r="B6" s="29">
        <v>4</v>
      </c>
      <c r="C6" s="45" t="s">
        <v>90</v>
      </c>
      <c r="D6" s="24" t="str">
        <f>IF(ISBLANK(C6),"← Выберите значение из раскрывающегося списка",IF(COUNTIF($C$3:C6,C6)&gt;1,"Вы выбрали значение "&amp;C6&amp;" дважды.",""))</f>
        <v/>
      </c>
    </row>
    <row r="7" spans="2:5" ht="19.5" customHeight="1" thickBot="1">
      <c r="B7" s="30">
        <v>5</v>
      </c>
      <c r="C7" s="31" t="s">
        <v>92</v>
      </c>
      <c r="D7" s="24" t="str">
        <f>IF(ISBLANK(C7),"← Выберите значение из раскрывающегося списка",IF(COUNTIF($C$3:C7,C7)&gt;1,"Вы выбрали значение "&amp;C7&amp;" дважды.",""))</f>
        <v/>
      </c>
    </row>
  </sheetData>
  <conditionalFormatting sqref="B3:C7">
    <cfRule type="expression" dxfId="0" priority="1">
      <formula>MOD(ROW(),2)</formula>
    </cfRule>
  </conditionalFormatting>
  <dataValidations count="1">
    <dataValidation type="list" allowBlank="1" showInputMessage="1" showErrorMessage="1" sqref="C3:C7" xr:uid="{00000000-0002-0000-0200-000000000000}">
      <formula1>Последние_метрики</formula1>
    </dataValidation>
  </dataValidation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workbookViewId="0">
      <selection activeCell="A2" sqref="A2"/>
    </sheetView>
  </sheetViews>
  <sheetFormatPr defaultColWidth="8.85546875" defaultRowHeight="15"/>
  <cols>
    <col min="2" max="2" width="32.85546875" customWidth="1"/>
    <col min="3" max="4" width="14.28515625" customWidth="1"/>
    <col min="5" max="5" width="14.42578125" customWidth="1"/>
    <col min="6" max="7" width="14.28515625" customWidth="1"/>
  </cols>
  <sheetData>
    <row r="1" spans="1:8" ht="34.5" customHeight="1">
      <c r="A1" s="25" t="s">
        <v>314</v>
      </c>
    </row>
    <row r="2" spans="1:8">
      <c r="D2" s="9" t="s">
        <v>315</v>
      </c>
    </row>
    <row r="3" spans="1:8" ht="19.5" customHeight="1">
      <c r="B3" t="s">
        <v>316</v>
      </c>
      <c r="C3" s="4">
        <f ca="1">Выбранный_год</f>
        <v>2024</v>
      </c>
      <c r="D3" t="e">
        <f ca="1">MATCH(C3,Прошедшие_годы,0)+1</f>
        <v>#N/A</v>
      </c>
    </row>
    <row r="4" spans="1:8" ht="19.5" customHeight="1">
      <c r="B4" t="s">
        <v>317</v>
      </c>
      <c r="C4" s="4">
        <f ca="1">C3-1</f>
        <v>2023</v>
      </c>
      <c r="D4" t="e">
        <f ca="1">MATCH(C4,Прошедшие_годы,0)+1</f>
        <v>#N/A</v>
      </c>
    </row>
    <row r="5" spans="1:8" ht="19.5" customHeight="1"/>
    <row r="6" spans="1:8" ht="19.5" customHeight="1" thickBot="1">
      <c r="B6" t="s">
        <v>315</v>
      </c>
      <c r="C6" s="1" t="e">
        <f ca="1">MATCH(C7,Прошедшие_годы,0)+1</f>
        <v>#N/A</v>
      </c>
      <c r="D6" s="1" t="e">
        <f ca="1">MATCH(D7,Прошедшие_годы,0)+1</f>
        <v>#N/A</v>
      </c>
      <c r="E6" s="1" t="e">
        <f ca="1">MATCH(E7,Прошедшие_годы,0)+1</f>
        <v>#N/A</v>
      </c>
      <c r="F6" s="1" t="e">
        <f ca="1">MATCH(F7,Прошедшие_годы,0)+1</f>
        <v>#N/A</v>
      </c>
      <c r="G6" s="1" t="e">
        <f ca="1">MATCH(G7,Прошедшие_годы,0)+1</f>
        <v>#N/A</v>
      </c>
    </row>
    <row r="7" spans="1:8" ht="21.95" thickBot="1">
      <c r="B7" s="11" t="s">
        <v>318</v>
      </c>
      <c r="C7" s="26">
        <f ca="1">D7-1</f>
        <v>2020</v>
      </c>
      <c r="D7" s="26">
        <f ca="1">E7-1</f>
        <v>2021</v>
      </c>
      <c r="E7" s="26">
        <f ca="1">F7-1</f>
        <v>2022</v>
      </c>
      <c r="F7" s="26">
        <f ca="1">G7-1</f>
        <v>2023</v>
      </c>
      <c r="G7" s="26">
        <f ca="1">C3</f>
        <v>2024</v>
      </c>
      <c r="H7" s="11"/>
    </row>
    <row r="8" spans="1:8" ht="19.5" customHeight="1">
      <c r="A8">
        <f>MATCH(B8,Норникель!$B$6:$B$18,0)</f>
        <v>4</v>
      </c>
      <c r="B8" t="str">
        <f>IF('Параметры ключевых метрик'!C3="","",'Параметры ключевых метрик'!C3)</f>
        <v>Итого выручка</v>
      </c>
      <c r="C8" t="e">
        <f ca="1">IFERROR(INDEX(Норникель!$B$4:$G$18,$A8,C$6),NA())</f>
        <v>#N/A</v>
      </c>
      <c r="D8" t="e">
        <f ca="1">IFERROR(INDEX(Норникель!$B$4:$G$18,$A8,D$6),NA())</f>
        <v>#N/A</v>
      </c>
      <c r="E8" t="e">
        <f ca="1">IFERROR(INDEX(Норникель!$B$4:$G$18,$A8,E$6),NA())</f>
        <v>#N/A</v>
      </c>
      <c r="F8" t="e">
        <f ca="1">IFERROR(INDEX(Норникель!$B$4:$G$18,$A8,F$6),NA())</f>
        <v>#N/A</v>
      </c>
      <c r="G8" t="e">
        <f ca="1">IFERROR(INDEX(Норникель!$B$4:$G$18,$A8,G$6),NA())</f>
        <v>#N/A</v>
      </c>
      <c r="H8" s="5" t="str">
        <f ca="1">IFERROR(G8/F8-1,"")</f>
        <v/>
      </c>
    </row>
    <row r="9" spans="1:8" ht="19.5" customHeight="1">
      <c r="A9">
        <f>MATCH(B9,Норникель!$B$6:$B$18,0)</f>
        <v>7</v>
      </c>
      <c r="B9" t="str">
        <f>IF('Параметры ключевых метрик'!C4="","",'Параметры ключевых метрик'!C4)</f>
        <v>Валовая прибыль</v>
      </c>
      <c r="C9" t="e">
        <f ca="1">IFERROR(INDEX(Норникель!$B$4:$G$18,$A9,C$6),NA())</f>
        <v>#N/A</v>
      </c>
      <c r="D9" t="e">
        <f ca="1">IFERROR(INDEX(Норникель!$B$4:$G$18,$A9,D$6),NA())</f>
        <v>#N/A</v>
      </c>
      <c r="E9" t="e">
        <f ca="1">IFERROR(INDEX(Норникель!$B$4:$G$18,$A9,E$6),NA())</f>
        <v>#N/A</v>
      </c>
      <c r="F9" t="e">
        <f ca="1">IFERROR(INDEX(Норникель!$B$4:$G$18,$A9,F$6),NA())</f>
        <v>#N/A</v>
      </c>
      <c r="G9" t="e">
        <f ca="1">IFERROR(INDEX(Норникель!$B$4:$G$18,$A9,G$6),NA())</f>
        <v>#N/A</v>
      </c>
      <c r="H9" s="5" t="str">
        <f t="shared" ref="H9:H12" ca="1" si="0">IFERROR(G9/F9-1,"")</f>
        <v/>
      </c>
    </row>
    <row r="10" spans="1:8" ht="19.5" customHeight="1">
      <c r="A10">
        <f>MATCH(B10,Норникель!$B$6:$B$18,0)</f>
        <v>12</v>
      </c>
      <c r="B10" t="str">
        <f>IF('Параметры ключевых метрик'!C5="","",'Параметры ключевых метрик'!C5)</f>
        <v>Прибыль от операционной деятельности</v>
      </c>
      <c r="C10" t="e">
        <f ca="1">IFERROR(INDEX(Норникель!$B$4:$G$18,$A10,C$6),NA())</f>
        <v>#N/A</v>
      </c>
      <c r="D10" t="e">
        <f ca="1">IFERROR(INDEX(Норникель!$B$4:$G$18,$A10,D$6),NA())</f>
        <v>#N/A</v>
      </c>
      <c r="E10" t="e">
        <f ca="1">IFERROR(INDEX(Норникель!$B$4:$G$18,$A10,E$6),NA())</f>
        <v>#N/A</v>
      </c>
      <c r="F10" t="e">
        <f ca="1">IFERROR(INDEX(Норникель!$B$4:$G$18,$A10,F$6),NA())</f>
        <v>#N/A</v>
      </c>
      <c r="G10" t="e">
        <f ca="1">IFERROR(INDEX(Норникель!$B$4:$G$18,$A10,G$6),NA())</f>
        <v>#N/A</v>
      </c>
      <c r="H10" s="5" t="str">
        <f t="shared" ca="1" si="0"/>
        <v/>
      </c>
    </row>
    <row r="11" spans="1:8" ht="19.5" customHeight="1">
      <c r="A11" t="e">
        <f>MATCH(B11,Норникель!$B$6:$B$18,0)</f>
        <v>#N/A</v>
      </c>
      <c r="B11" t="str">
        <f>IF('Параметры ключевых метрик'!C6="","",'Параметры ключевых метрик'!C6)</f>
        <v>Прибыль до налогообложения</v>
      </c>
      <c r="C11" t="e">
        <f ca="1">IFERROR(INDEX(Норникель!$B$4:$G$18,$A11,C$6),NA())</f>
        <v>#N/A</v>
      </c>
      <c r="D11" t="e">
        <f ca="1">IFERROR(INDEX(Норникель!$B$4:$G$18,$A11,D$6),NA())</f>
        <v>#N/A</v>
      </c>
      <c r="E11" t="e">
        <f ca="1">IFERROR(INDEX(Норникель!$B$4:$G$18,$A11,E$6),NA())</f>
        <v>#N/A</v>
      </c>
      <c r="F11" t="e">
        <f ca="1">IFERROR(INDEX(Норникель!$B$4:$G$18,$A11,F$6),NA())</f>
        <v>#N/A</v>
      </c>
      <c r="G11" t="e">
        <f ca="1">IFERROR(INDEX(Норникель!$B$4:$G$18,$A11,G$6),NA())</f>
        <v>#N/A</v>
      </c>
      <c r="H11" s="5" t="str">
        <f t="shared" ca="1" si="0"/>
        <v/>
      </c>
    </row>
    <row r="12" spans="1:8" ht="19.5" customHeight="1">
      <c r="A12" t="e">
        <f>MATCH(B12,Норникель!$B$6:$B$18,0)</f>
        <v>#N/A</v>
      </c>
      <c r="B12" t="str">
        <f>IF('Параметры ключевых метрик'!C7="","",'Параметры ключевых метрик'!C7)</f>
        <v>Прибыль за год</v>
      </c>
      <c r="C12" t="e">
        <f ca="1">IFERROR(INDEX(Норникель!$B$4:$G$18,$A12,C$6),NA())</f>
        <v>#N/A</v>
      </c>
      <c r="D12" t="e">
        <f ca="1">IFERROR(INDEX(Норникель!$B$4:$G$18,$A12,D$6),NA())</f>
        <v>#N/A</v>
      </c>
      <c r="E12" t="e">
        <f ca="1">IFERROR(INDEX(Норникель!$B$4:$G$18,$A12,E$6),NA())</f>
        <v>#N/A</v>
      </c>
      <c r="F12" t="e">
        <f ca="1">IFERROR(INDEX(Норникель!$B$4:$G$18,$A12,F$6),NA())</f>
        <v>#N/A</v>
      </c>
      <c r="G12" t="e">
        <f ca="1">IFERROR(INDEX(Норникель!$B$4:$G$18,$A12,G$6),NA())</f>
        <v>#N/A</v>
      </c>
      <c r="H12" s="5" t="str">
        <f t="shared" ca="1" si="0"/>
        <v/>
      </c>
    </row>
    <row r="13" spans="1:8" ht="15.95" thickBot="1"/>
    <row r="14" spans="1:8" ht="21.95" thickBot="1">
      <c r="B14" s="11" t="s">
        <v>319</v>
      </c>
      <c r="C14" s="11"/>
      <c r="D14" s="11"/>
      <c r="E14" s="11"/>
      <c r="F14" s="11"/>
      <c r="G14" s="11"/>
      <c r="H14" s="11"/>
    </row>
    <row r="15" spans="1:8" ht="19.5" customHeight="1">
      <c r="A15">
        <f>ROWS($B$15:B15)</f>
        <v>1</v>
      </c>
      <c r="B15" t="str">
        <f>IF(Норникель!B6=0,"",Норникель!B6)</f>
        <v>Выручка</v>
      </c>
      <c r="C15" t="e">
        <f ca="1">IF(B15="",NA(),IFERROR(INDEX(Норникель!$B$4:$G$23,$A15,C$6),NA()))</f>
        <v>#N/A</v>
      </c>
      <c r="D15" t="e">
        <f ca="1">IF(B15="",NA(),IFERROR(INDEX(Норникель!$B$4:$G$23,$A15,D$6),NA()))</f>
        <v>#N/A</v>
      </c>
      <c r="E15" t="e">
        <f ca="1">IF(B15="",NA(),IFERROR(INDEX(Норникель!$B$4:$G$23,$A15,E$6),NA()))</f>
        <v>#N/A</v>
      </c>
      <c r="F15" t="e">
        <f ca="1">IF(B15="",NA(),IFERROR(INDEX(Норникель!$B$4:$G$23,$A15,F$6),NA()))</f>
        <v>#N/A</v>
      </c>
      <c r="G15" t="e">
        <f ca="1">IF(B15="",NA(),IFERROR(INDEX(Норникель!$B$4:$G$23,$A15,G$6),NA()))</f>
        <v>#N/A</v>
      </c>
    </row>
    <row r="16" spans="1:8" ht="19.5" customHeight="1">
      <c r="A16">
        <f>ROWS($B$15:B16)</f>
        <v>2</v>
      </c>
      <c r="B16" t="str">
        <f>IF(Норникель!B7=0,"",Норникель!B7)</f>
        <v>Выручка от реализации металлов</v>
      </c>
      <c r="C16" t="e">
        <f ca="1">IF(B16="",NA(),IFERROR(INDEX(Норникель!$B$4:$G$23,$A16,C$6),NA()))</f>
        <v>#N/A</v>
      </c>
      <c r="D16" t="e">
        <f ca="1">IF(B16="",NA(),IFERROR(INDEX(Норникель!$B$4:$G$23,$A16,D$6),NA()))</f>
        <v>#N/A</v>
      </c>
      <c r="E16" t="e">
        <f ca="1">IF(B16="",NA(),IFERROR(INDEX(Норникель!$B$4:$G$23,$A16,E$6),NA()))</f>
        <v>#N/A</v>
      </c>
      <c r="F16" t="e">
        <f ca="1">IF(B16="",NA(),IFERROR(INDEX(Норникель!$B$4:$G$23,$A16,F$6),NA()))</f>
        <v>#N/A</v>
      </c>
      <c r="G16" t="e">
        <f ca="1">IF(B16="",NA(),IFERROR(INDEX(Норникель!$B$4:$G$23,$A16,G$6),NA()))</f>
        <v>#N/A</v>
      </c>
    </row>
    <row r="17" spans="1:7" ht="19.5" customHeight="1">
      <c r="A17">
        <f>ROWS($B$15:B17)</f>
        <v>3</v>
      </c>
      <c r="B17" t="str">
        <f>IF(Норникель!B8=0,"",Норникель!B8)</f>
        <v>Выручка от прочей реализации</v>
      </c>
      <c r="C17" t="e">
        <f ca="1">IF(B17="",NA(),IFERROR(INDEX(Норникель!$B$4:$G$23,$A17,C$6),NA()))</f>
        <v>#N/A</v>
      </c>
      <c r="D17" t="e">
        <f ca="1">IF(B17="",NA(),IFERROR(INDEX(Норникель!$B$4:$G$23,$A17,D$6),NA()))</f>
        <v>#N/A</v>
      </c>
      <c r="E17" t="e">
        <f ca="1">IF(B17="",NA(),IFERROR(INDEX(Норникель!$B$4:$G$23,$A17,E$6),NA()))</f>
        <v>#N/A</v>
      </c>
      <c r="F17" t="e">
        <f ca="1">IF(B17="",NA(),IFERROR(INDEX(Норникель!$B$4:$G$23,$A17,F$6),NA()))</f>
        <v>#N/A</v>
      </c>
      <c r="G17" t="e">
        <f ca="1">IF(B17="",NA(),IFERROR(INDEX(Норникель!$B$4:$G$23,$A17,G$6),NA()))</f>
        <v>#N/A</v>
      </c>
    </row>
    <row r="18" spans="1:7" ht="19.5" customHeight="1">
      <c r="A18">
        <f>ROWS($B$15:B18)</f>
        <v>4</v>
      </c>
      <c r="B18" t="str">
        <f>IF(Норникель!B9=0,"",Норникель!B9)</f>
        <v>Итого выручка</v>
      </c>
      <c r="C18" t="e">
        <f ca="1">IF(B18="",NA(),IFERROR(INDEX(Норникель!$B$4:$G$23,$A18,C$6),NA()))</f>
        <v>#N/A</v>
      </c>
      <c r="D18" t="e">
        <f ca="1">IF(B18="",NA(),IFERROR(INDEX(Норникель!$B$4:$G$23,$A18,D$6),NA()))</f>
        <v>#N/A</v>
      </c>
      <c r="E18" t="e">
        <f ca="1">IF(B18="",NA(),IFERROR(INDEX(Норникель!$B$4:$G$23,$A18,E$6),NA()))</f>
        <v>#N/A</v>
      </c>
      <c r="F18" t="e">
        <f ca="1">IF(B18="",NA(),IFERROR(INDEX(Норникель!$B$4:$G$23,$A18,F$6),NA()))</f>
        <v>#N/A</v>
      </c>
      <c r="G18" t="e">
        <f ca="1">IF(B18="",NA(),IFERROR(INDEX(Норникель!$B$4:$G$23,$A18,G$6),NA()))</f>
        <v>#N/A</v>
      </c>
    </row>
    <row r="19" spans="1:7" ht="19.5" customHeight="1">
      <c r="A19">
        <f>ROWS($B$15:B19)</f>
        <v>5</v>
      </c>
      <c r="B19" t="str">
        <f>IF(Норникель!B10=0,"",Норникель!B10)</f>
        <v>Себестоимость реализованных металлов</v>
      </c>
      <c r="C19" t="e">
        <f ca="1">IF(B19="",NA(),IFERROR(INDEX(Норникель!$B$4:$G$23,$A19,C$6),NA()))</f>
        <v>#N/A</v>
      </c>
      <c r="D19" t="e">
        <f ca="1">IF(B19="",NA(),IFERROR(INDEX(Норникель!$B$4:$G$23,$A19,D$6),NA()))</f>
        <v>#N/A</v>
      </c>
      <c r="E19" t="e">
        <f ca="1">IF(B19="",NA(),IFERROR(INDEX(Норникель!$B$4:$G$23,$A19,E$6),NA()))</f>
        <v>#N/A</v>
      </c>
      <c r="F19" t="e">
        <f ca="1">IF(B19="",NA(),IFERROR(INDEX(Норникель!$B$4:$G$23,$A19,F$6),NA()))</f>
        <v>#N/A</v>
      </c>
      <c r="G19" t="e">
        <f ca="1">IF(B19="",NA(),IFERROR(INDEX(Норникель!$B$4:$G$23,$A19,G$6),NA()))</f>
        <v>#N/A</v>
      </c>
    </row>
    <row r="20" spans="1:7" ht="19.5" customHeight="1">
      <c r="A20">
        <f>ROWS($B$15:B20)</f>
        <v>6</v>
      </c>
      <c r="B20" t="str">
        <f>IF(Норникель!B11=0,"",Норникель!B11)</f>
        <v>Себестоимость прочей реализации</v>
      </c>
      <c r="C20" t="e">
        <f ca="1">IF(B20="",NA(),IFERROR(INDEX(Норникель!$B$4:$G$23,$A20,C$6),NA()))</f>
        <v>#N/A</v>
      </c>
      <c r="D20" t="e">
        <f ca="1">IF(B20="",NA(),IFERROR(INDEX(Норникель!$B$4:$G$23,$A20,D$6),NA()))</f>
        <v>#N/A</v>
      </c>
      <c r="E20" t="e">
        <f ca="1">IF(B20="",NA(),IFERROR(INDEX(Норникель!$B$4:$G$23,$A20,E$6),NA()))</f>
        <v>#N/A</v>
      </c>
      <c r="F20" t="e">
        <f ca="1">IF(B20="",NA(),IFERROR(INDEX(Норникель!$B$4:$G$23,$A20,F$6),NA()))</f>
        <v>#N/A</v>
      </c>
      <c r="G20" t="e">
        <f ca="1">IF(B20="",NA(),IFERROR(INDEX(Норникель!$B$4:$G$23,$A20,G$6),NA()))</f>
        <v>#N/A</v>
      </c>
    </row>
    <row r="21" spans="1:7" ht="19.5" customHeight="1">
      <c r="A21">
        <f>ROWS($B$15:B21)</f>
        <v>7</v>
      </c>
      <c r="B21" t="str">
        <f>IF(Норникель!B12=0,"",Норникель!B12)</f>
        <v>Валовая прибыль</v>
      </c>
      <c r="C21" t="e">
        <f ca="1">IF(B21="",NA(),IFERROR(INDEX(Норникель!$B$4:$G$23,$A21,C$6),NA()))</f>
        <v>#N/A</v>
      </c>
      <c r="D21" t="e">
        <f ca="1">IF(B21="",NA(),IFERROR(INDEX(Норникель!$B$4:$G$23,$A21,D$6),NA()))</f>
        <v>#N/A</v>
      </c>
      <c r="E21" t="e">
        <f ca="1">IF(B21="",NA(),IFERROR(INDEX(Норникель!$B$4:$G$23,$A21,E$6),NA()))</f>
        <v>#N/A</v>
      </c>
      <c r="F21" t="e">
        <f ca="1">IF(B21="",NA(),IFERROR(INDEX(Норникель!$B$4:$G$23,$A21,F$6),NA()))</f>
        <v>#N/A</v>
      </c>
      <c r="G21" t="e">
        <f ca="1">IF(B21="",NA(),IFERROR(INDEX(Норникель!$B$4:$G$23,$A21,G$6),NA()))</f>
        <v>#N/A</v>
      </c>
    </row>
    <row r="22" spans="1:7" ht="19.5" customHeight="1">
      <c r="A22">
        <f>ROWS($B$15:B22)</f>
        <v>8</v>
      </c>
      <c r="B22" t="str">
        <f>IF(Норникель!B13=0,"",Норникель!B13)</f>
        <v>Административные расходы</v>
      </c>
      <c r="C22" t="e">
        <f ca="1">IF(B22="",NA(),IFERROR(INDEX(Норникель!$B$4:$G$23,$A22,C$6),NA()))</f>
        <v>#N/A</v>
      </c>
      <c r="D22" t="e">
        <f ca="1">IF(B22="",NA(),IFERROR(INDEX(Норникель!$B$4:$G$23,$A22,D$6),NA()))</f>
        <v>#N/A</v>
      </c>
      <c r="E22" t="e">
        <f ca="1">IF(B22="",NA(),IFERROR(INDEX(Норникель!$B$4:$G$23,$A22,E$6),NA()))</f>
        <v>#N/A</v>
      </c>
      <c r="F22" t="e">
        <f ca="1">IF(B22="",NA(),IFERROR(INDEX(Норникель!$B$4:$G$23,$A22,F$6),NA()))</f>
        <v>#N/A</v>
      </c>
      <c r="G22" t="e">
        <f ca="1">IF(B22="",NA(),IFERROR(INDEX(Норникель!$B$4:$G$23,$A22,G$6),NA()))</f>
        <v>#N/A</v>
      </c>
    </row>
    <row r="23" spans="1:7" ht="19.5" customHeight="1">
      <c r="A23">
        <f>ROWS($B$15:B23)</f>
        <v>9</v>
      </c>
      <c r="B23" t="str">
        <f>IF(Норникель!B14=0,"",Норникель!B14)</f>
        <v>Коммерческие расходы</v>
      </c>
      <c r="C23" t="e">
        <f ca="1">IF(B23="",NA(),IFERROR(INDEX(Норникель!$B$4:$G$23,$A23,C$6),NA()))</f>
        <v>#N/A</v>
      </c>
      <c r="D23" t="e">
        <f ca="1">IF(B23="",NA(),IFERROR(INDEX(Норникель!$B$4:$G$23,$A23,D$6),NA()))</f>
        <v>#N/A</v>
      </c>
      <c r="E23" t="e">
        <f ca="1">IF(B23="",NA(),IFERROR(INDEX(Норникель!$B$4:$G$23,$A23,E$6),NA()))</f>
        <v>#N/A</v>
      </c>
      <c r="F23" t="e">
        <f ca="1">IF(B23="",NA(),IFERROR(INDEX(Норникель!$B$4:$G$23,$A23,F$6),NA()))</f>
        <v>#N/A</v>
      </c>
      <c r="G23" t="e">
        <f ca="1">IF(B23="",NA(),IFERROR(INDEX(Норникель!$B$4:$G$23,$A23,G$6),NA()))</f>
        <v>#N/A</v>
      </c>
    </row>
    <row r="24" spans="1:7" ht="19.5" customHeight="1">
      <c r="A24">
        <f>ROWS($B$15:B24)</f>
        <v>10</v>
      </c>
      <c r="B24" t="str">
        <f>IF(Норникель!B15=0,"",Норникель!B15)</f>
        <v>Убыток от обесценения нефинансовых активов, нетто</v>
      </c>
      <c r="C24" t="e">
        <f ca="1">IF(B24="",NA(),IFERROR(INDEX(Норникель!$B$4:$G$23,$A24,C$6),NA()))</f>
        <v>#N/A</v>
      </c>
      <c r="D24" t="e">
        <f ca="1">IF(B24="",NA(),IFERROR(INDEX(Норникель!$B$4:$G$23,$A24,D$6),NA()))</f>
        <v>#N/A</v>
      </c>
      <c r="E24" t="e">
        <f ca="1">IF(B24="",NA(),IFERROR(INDEX(Норникель!$B$4:$G$23,$A24,E$6),NA()))</f>
        <v>#N/A</v>
      </c>
      <c r="F24" t="e">
        <f ca="1">IF(B24="",NA(),IFERROR(INDEX(Норникель!$B$4:$G$23,$A24,F$6),NA()))</f>
        <v>#N/A</v>
      </c>
      <c r="G24" t="e">
        <f ca="1">IF(B24="",NA(),IFERROR(INDEX(Норникель!$B$4:$G$23,$A24,G$6),NA()))</f>
        <v>#N/A</v>
      </c>
    </row>
    <row r="25" spans="1:7" ht="19.5" customHeight="1">
      <c r="A25">
        <f>ROWS($B$15:B25)</f>
        <v>11</v>
      </c>
      <c r="B25" t="e">
        <f>IF(Норникель!#REF!=0,"",Норникель!#REF!)</f>
        <v>#REF!</v>
      </c>
      <c r="C25" t="e">
        <f ca="1">IF(B25="",NA(),IFERROR(INDEX(Норникель!$B$4:$G$23,$A25,C$6),NA()))</f>
        <v>#REF!</v>
      </c>
      <c r="D25" t="e">
        <f ca="1">IF(B25="",NA(),IFERROR(INDEX(Норникель!$B$4:$G$23,$A25,D$6),NA()))</f>
        <v>#REF!</v>
      </c>
      <c r="E25" t="e">
        <f ca="1">IF(B25="",NA(),IFERROR(INDEX(Норникель!$B$4:$G$23,$A25,E$6),NA()))</f>
        <v>#REF!</v>
      </c>
      <c r="F25" t="e">
        <f ca="1">IF(B25="",NA(),IFERROR(INDEX(Норникель!$B$4:$G$23,$A25,F$6),NA()))</f>
        <v>#REF!</v>
      </c>
      <c r="G25" t="e">
        <f ca="1">IF(B25="",NA(),IFERROR(INDEX(Норникель!$B$4:$G$23,$A25,G$6),NA()))</f>
        <v>#REF!</v>
      </c>
    </row>
    <row r="26" spans="1:7" ht="19.5" customHeight="1">
      <c r="A26">
        <f>ROWS($B$15:B26)</f>
        <v>12</v>
      </c>
      <c r="B26" t="str">
        <f>IF(Норникель!B16=0,"",Норникель!B16)</f>
        <v>Прочие операционные расходы, нетто</v>
      </c>
      <c r="C26" t="e">
        <f ca="1">IF(B26="",NA(),IFERROR(INDEX(Норникель!$B$4:$G$23,$A26,C$6),NA()))</f>
        <v>#N/A</v>
      </c>
      <c r="D26" t="e">
        <f ca="1">IF(B26="",NA(),IFERROR(INDEX(Норникель!$B$4:$G$23,$A26,D$6),NA()))</f>
        <v>#N/A</v>
      </c>
      <c r="E26" t="e">
        <f ca="1">IF(B26="",NA(),IFERROR(INDEX(Норникель!$B$4:$G$23,$A26,E$6),NA()))</f>
        <v>#N/A</v>
      </c>
      <c r="F26" t="e">
        <f ca="1">IF(B26="",NA(),IFERROR(INDEX(Норникель!$B$4:$G$23,$A26,F$6),NA()))</f>
        <v>#N/A</v>
      </c>
      <c r="G26" t="e">
        <f ca="1">IF(B26="",NA(),IFERROR(INDEX(Норникель!$B$4:$G$23,$A26,G$6),NA()))</f>
        <v>#N/A</v>
      </c>
    </row>
    <row r="27" spans="1:7" ht="19.5" customHeight="1">
      <c r="A27">
        <f>ROWS($B$15:B27)</f>
        <v>13</v>
      </c>
      <c r="B27" t="str">
        <f>IF(Норникель!B17=0,"",Норникель!B17)</f>
        <v>Прибыль от операционной деятельности</v>
      </c>
      <c r="C27" t="e">
        <f ca="1">IF(B27="",NA(),IFERROR(INDEX(Норникель!$B$4:$G$23,$A27,C$6),NA()))</f>
        <v>#N/A</v>
      </c>
      <c r="D27" t="e">
        <f ca="1">IF(B27="",NA(),IFERROR(INDEX(Норникель!$B$4:$G$23,$A27,D$6),NA()))</f>
        <v>#N/A</v>
      </c>
      <c r="E27" t="e">
        <f ca="1">IF(B27="",NA(),IFERROR(INDEX(Норникель!$B$4:$G$23,$A27,E$6),NA()))</f>
        <v>#N/A</v>
      </c>
      <c r="F27" t="e">
        <f ca="1">IF(B27="",NA(),IFERROR(INDEX(Норникель!$B$4:$G$23,$A27,F$6),NA()))</f>
        <v>#N/A</v>
      </c>
      <c r="G27" t="e">
        <f ca="1">IF(B27="",NA(),IFERROR(INDEX(Норникель!$B$4:$G$23,$A27,G$6),NA()))</f>
        <v>#N/A</v>
      </c>
    </row>
    <row r="28" spans="1:7" ht="19.5" customHeight="1">
      <c r="A28">
        <f>ROWS($B$15:B28)</f>
        <v>14</v>
      </c>
      <c r="B28" t="str">
        <f>IF(Норникель!B18=0,"",Норникель!B18)</f>
        <v>(Отрицательные)/положительные курсовые разницы, нетто</v>
      </c>
      <c r="C28" t="e">
        <f ca="1">IF(B28="",NA(),IFERROR(INDEX(Норникель!$B$4:$G$23,$A28,C$6),NA()))</f>
        <v>#N/A</v>
      </c>
      <c r="D28" t="e">
        <f ca="1">IF(B28="",NA(),IFERROR(INDEX(Норникель!$B$4:$G$23,$A28,D$6),NA()))</f>
        <v>#N/A</v>
      </c>
      <c r="E28" t="e">
        <f ca="1">IF(B28="",NA(),IFERROR(INDEX(Норникель!$B$4:$G$23,$A28,E$6),NA()))</f>
        <v>#N/A</v>
      </c>
      <c r="F28" t="e">
        <f ca="1">IF(B28="",NA(),IFERROR(INDEX(Норникель!$B$4:$G$23,$A28,F$6),NA()))</f>
        <v>#N/A</v>
      </c>
      <c r="G28" t="e">
        <f ca="1">IF(B28="",NA(),IFERROR(INDEX(Норникель!$B$4:$G$23,$A28,G$6),NA()))</f>
        <v>#N/A</v>
      </c>
    </row>
    <row r="29" spans="1:7" ht="19.5" customHeight="1">
      <c r="A29">
        <f>ROWS($B$15:B29)</f>
        <v>15</v>
      </c>
      <c r="B29" t="e">
        <f>IF(Норникель!#REF!=0,"",Норникель!#REF!)</f>
        <v>#REF!</v>
      </c>
      <c r="C29" t="e">
        <f ca="1">IF(B29="",NA(),IFERROR(INDEX(Норникель!$B$4:$G$23,$A29,C$6),NA()))</f>
        <v>#REF!</v>
      </c>
      <c r="D29" t="e">
        <f ca="1">IF(B29="",NA(),IFERROR(INDEX(Норникель!$B$4:$G$23,$A29,D$6),NA()))</f>
        <v>#REF!</v>
      </c>
      <c r="E29" t="e">
        <f ca="1">IF(B29="",NA(),IFERROR(INDEX(Норникель!$B$4:$G$23,$A29,E$6),NA()))</f>
        <v>#REF!</v>
      </c>
      <c r="F29" t="e">
        <f ca="1">IF(B29="",NA(),IFERROR(INDEX(Норникель!$B$4:$G$23,$A29,F$6),NA()))</f>
        <v>#REF!</v>
      </c>
      <c r="G29" t="e">
        <f ca="1">IF(B29="",NA(),IFERROR(INDEX(Норникель!$B$4:$G$23,$A29,G$6),NA()))</f>
        <v>#REF!</v>
      </c>
    </row>
    <row r="30" spans="1:7" ht="19.5" customHeight="1">
      <c r="A30">
        <f>ROWS($B$15:B30)</f>
        <v>16</v>
      </c>
      <c r="B30" t="str">
        <f>IF(Норникель!B19=0,"",Норникель!B19)</f>
        <v>Финансовые расходы, нетто</v>
      </c>
      <c r="C30" t="e">
        <f ca="1">IF(B30="",NA(),IFERROR(INDEX(Норникель!$B$4:$G$23,$A30,C$6),NA()))</f>
        <v>#N/A</v>
      </c>
      <c r="D30" t="e">
        <f ca="1">IF(B30="",NA(),IFERROR(INDEX(Норникель!$B$4:$G$23,$A30,D$6),NA()))</f>
        <v>#N/A</v>
      </c>
      <c r="E30" t="e">
        <f ca="1">IF(B30="",NA(),IFERROR(INDEX(Норникель!$B$4:$G$23,$A30,E$6),NA()))</f>
        <v>#N/A</v>
      </c>
      <c r="F30" t="e">
        <f ca="1">IF(B30="",NA(),IFERROR(INDEX(Норникель!$B$4:$G$23,$A30,F$6),NA()))</f>
        <v>#N/A</v>
      </c>
      <c r="G30" t="e">
        <f ca="1">IF(B30="",NA(),IFERROR(INDEX(Норникель!$B$4:$G$23,$A30,G$6),NA()))</f>
        <v>#N/A</v>
      </c>
    </row>
    <row r="31" spans="1:7" ht="19.5" customHeight="1">
      <c r="A31">
        <f>ROWS($B$15:B31)</f>
        <v>17</v>
      </c>
      <c r="B31" t="str">
        <f>IF(Норникель!B20=0,"",Норникель!B20)</f>
        <v>Прибыль/(убыток) от выбытия дочерних организаций и зарубежных совместных операций</v>
      </c>
      <c r="C31" t="e">
        <f ca="1">IF(B31="",NA(),IFERROR(INDEX(Норникель!$B$4:$G$23,$A31,C$6),NA()))</f>
        <v>#N/A</v>
      </c>
      <c r="D31" t="e">
        <f ca="1">IF(B31="",NA(),IFERROR(INDEX(Норникель!$B$4:$G$23,$A31,D$6),NA()))</f>
        <v>#N/A</v>
      </c>
      <c r="E31" t="e">
        <f ca="1">IF(B31="",NA(),IFERROR(INDEX(Норникель!$B$4:$G$23,$A31,E$6),NA()))</f>
        <v>#N/A</v>
      </c>
      <c r="F31" t="e">
        <f ca="1">IF(B31="",NA(),IFERROR(INDEX(Норникель!$B$4:$G$23,$A31,F$6),NA()))</f>
        <v>#N/A</v>
      </c>
      <c r="G31" t="e">
        <f ca="1">IF(B31="",NA(),IFERROR(INDEX(Норникель!$B$4:$G$23,$A31,G$6),NA()))</f>
        <v>#N/A</v>
      </c>
    </row>
    <row r="32" spans="1:7" ht="19.5" customHeight="1">
      <c r="A32">
        <f>ROWS($B$15:B32)</f>
        <v>18</v>
      </c>
      <c r="B32" t="e">
        <f>IF(Норникель!#REF!=0,"",Норникель!#REF!)</f>
        <v>#REF!</v>
      </c>
      <c r="C32" t="e">
        <f ca="1">IF(B32="",NA(),IFERROR(INDEX(Норникель!$B$4:$G$23,$A32,C$6),NA()))</f>
        <v>#REF!</v>
      </c>
      <c r="D32" t="e">
        <f ca="1">IF(B32="",NA(),IFERROR(INDEX(Норникель!$B$4:$G$23,$A32,D$6),NA()))</f>
        <v>#REF!</v>
      </c>
      <c r="E32" t="e">
        <f ca="1">IF(B32="",NA(),IFERROR(INDEX(Норникель!$B$4:$G$23,$A32,E$6),NA()))</f>
        <v>#REF!</v>
      </c>
      <c r="F32" t="e">
        <f ca="1">IF(B32="",NA(),IFERROR(INDEX(Норникель!$B$4:$G$23,$A32,F$6),NA()))</f>
        <v>#REF!</v>
      </c>
      <c r="G32" t="e">
        <f ca="1">IF(B32="",NA(),IFERROR(INDEX(Норникель!$B$4:$G$23,$A32,G$6),NA()))</f>
        <v>#REF!</v>
      </c>
    </row>
    <row r="33" spans="1:7" ht="19.5" customHeight="1">
      <c r="A33">
        <f>ROWS($B$15:B33)</f>
        <v>19</v>
      </c>
      <c r="B33" t="str">
        <f>IF(Норникель!B21=0,"",Норникель!B21)</f>
        <v>Прибыль от инвестиционной деятельности, нетто</v>
      </c>
      <c r="C33" t="e">
        <f ca="1">IF(B33="",NA(),IFERROR(INDEX(Норникель!$B$4:$G$23,$A33,C$6),NA()))</f>
        <v>#N/A</v>
      </c>
      <c r="D33" t="e">
        <f ca="1">IF(B33="",NA(),IFERROR(INDEX(Норникель!$B$4:$G$23,$A33,D$6),NA()))</f>
        <v>#N/A</v>
      </c>
      <c r="E33" t="e">
        <f ca="1">IF(B33="",NA(),IFERROR(INDEX(Норникель!$B$4:$G$23,$A33,E$6),NA()))</f>
        <v>#N/A</v>
      </c>
      <c r="F33" t="e">
        <f ca="1">IF(B33="",NA(),IFERROR(INDEX(Норникель!$B$4:$G$23,$A33,F$6),NA()))</f>
        <v>#N/A</v>
      </c>
      <c r="G33" t="e">
        <f ca="1">IF(B33="",NA(),IFERROR(INDEX(Норникель!$B$4:$G$23,$A33,G$6),NA()))</f>
        <v>#N/A</v>
      </c>
    </row>
    <row r="34" spans="1:7" ht="19.5" customHeight="1">
      <c r="A34">
        <f>ROWS($B$15:B34)</f>
        <v>20</v>
      </c>
      <c r="B34" t="str">
        <f>IF(Норникель!B22=0,"",Норникель!B22)</f>
        <v>Прибыль до налогообложения</v>
      </c>
      <c r="C34" t="e">
        <f ca="1">IF(B34="",NA(),IFERROR(INDEX(Норникель!$B$4:$G$23,$A34,C$6),NA()))</f>
        <v>#N/A</v>
      </c>
      <c r="D34" t="e">
        <f ca="1">IF(B34="",NA(),IFERROR(INDEX(Норникель!$B$4:$G$23,$A34,D$6),NA()))</f>
        <v>#N/A</v>
      </c>
      <c r="E34" t="e">
        <f ca="1">IF(B34="",NA(),IFERROR(INDEX(Норникель!$B$4:$G$23,$A34,E$6),NA()))</f>
        <v>#N/A</v>
      </c>
      <c r="F34" t="e">
        <f ca="1">IF(B34="",NA(),IFERROR(INDEX(Норникель!$B$4:$G$23,$A34,F$6),NA()))</f>
        <v>#N/A</v>
      </c>
      <c r="G34" t="e">
        <f ca="1">IF(B34="",NA(),IFERROR(INDEX(Норникель!$B$4:$G$23,$A34,G$6),NA()))</f>
        <v>#N/A</v>
      </c>
    </row>
    <row r="35" spans="1:7" ht="19.5" customHeight="1">
      <c r="A35">
        <f>ROWS($B$15:B35)</f>
        <v>21</v>
      </c>
      <c r="B35" t="str">
        <f>IF(Норникель!B23=0,"",Норникель!B23)</f>
        <v>Расходы по налогу на прибыль</v>
      </c>
      <c r="C35" t="e">
        <f ca="1">IF(B35="",NA(),IFERROR(INDEX(Норникель!$B$4:$G$23,$A35,C$6),NA()))</f>
        <v>#N/A</v>
      </c>
      <c r="D35" t="e">
        <f ca="1">IF(B35="",NA(),IFERROR(INDEX(Норникель!$B$4:$G$23,$A35,D$6),NA()))</f>
        <v>#N/A</v>
      </c>
      <c r="E35" t="e">
        <f ca="1">IF(B35="",NA(),IFERROR(INDEX(Норникель!$B$4:$G$23,$A35,E$6),NA()))</f>
        <v>#N/A</v>
      </c>
      <c r="F35" t="e">
        <f ca="1">IF(B35="",NA(),IFERROR(INDEX(Норникель!$B$4:$G$23,$A35,F$6),NA()))</f>
        <v>#N/A</v>
      </c>
      <c r="G35" t="e">
        <f ca="1">IF(B35="",NA(),IFERROR(INDEX(Норникель!$B$4:$G$23,$A35,G$6),NA()))</f>
        <v>#N/A</v>
      </c>
    </row>
    <row r="36" spans="1:7" ht="19.5" customHeight="1">
      <c r="A36">
        <f>ROWS($B$15:B36)</f>
        <v>22</v>
      </c>
      <c r="B36" t="str">
        <f>IF(Норникель!B24=0,"",Норникель!B24)</f>
        <v>Прибыль за год</v>
      </c>
      <c r="C36" t="e">
        <f ca="1">IF(B36="",NA(),IFERROR(INDEX(Норникель!$B$4:$G$23,$A36,C$6),NA()))</f>
        <v>#N/A</v>
      </c>
      <c r="D36" t="e">
        <f ca="1">IF(B36="",NA(),IFERROR(INDEX(Норникель!$B$4:$G$23,$A36,D$6),NA()))</f>
        <v>#N/A</v>
      </c>
      <c r="E36" t="e">
        <f ca="1">IF(B36="",NA(),IFERROR(INDEX(Норникель!$B$4:$G$23,$A36,E$6),NA()))</f>
        <v>#N/A</v>
      </c>
      <c r="F36" t="e">
        <f ca="1">IF(B36="",NA(),IFERROR(INDEX(Норникель!$B$4:$G$23,$A36,F$6),NA()))</f>
        <v>#N/A</v>
      </c>
      <c r="G36" t="e">
        <f ca="1">IF(B36="",NA(),IFERROR(INDEX(Норникель!$B$4:$G$23,$A36,G$6),NA()))</f>
        <v>#N/A</v>
      </c>
    </row>
    <row r="37" spans="1:7" ht="19.5" customHeight="1">
      <c r="A37">
        <f>ROWS($B$15:B37)</f>
        <v>23</v>
      </c>
      <c r="B37" t="e">
        <f>IF(Норникель!#REF!=0,"",Норникель!#REF!)</f>
        <v>#REF!</v>
      </c>
      <c r="C37" t="e">
        <f ca="1">IF(B37="",NA(),IFERROR(INDEX(Норникель!$B$4:$G$23,$A37,C$6),NA()))</f>
        <v>#REF!</v>
      </c>
      <c r="D37" t="e">
        <f ca="1">IF(B37="",NA(),IFERROR(INDEX(Норникель!$B$4:$G$23,$A37,D$6),NA()))</f>
        <v>#REF!</v>
      </c>
      <c r="E37" t="e">
        <f ca="1">IF(B37="",NA(),IFERROR(INDEX(Норникель!$B$4:$G$23,$A37,E$6),NA()))</f>
        <v>#REF!</v>
      </c>
      <c r="F37" t="e">
        <f ca="1">IF(B37="",NA(),IFERROR(INDEX(Норникель!$B$4:$G$23,$A37,F$6),NA()))</f>
        <v>#REF!</v>
      </c>
      <c r="G37" t="e">
        <f ca="1">IF(B37="",NA(),IFERROR(INDEX(Норникель!$B$4:$G$23,$A37,G$6),NA()))</f>
        <v>#REF!</v>
      </c>
    </row>
    <row r="38" spans="1:7" ht="19.5" customHeight="1">
      <c r="A38">
        <f>ROWS($B$15:B38)</f>
        <v>24</v>
      </c>
      <c r="B38" t="e">
        <f>IF(Норникель!#REF!=0,"",Норникель!#REF!)</f>
        <v>#REF!</v>
      </c>
      <c r="C38" t="e">
        <f ca="1">IF(B38="",NA(),IFERROR(INDEX(Норникель!$B$4:$G$23,$A38,C$6),NA()))</f>
        <v>#REF!</v>
      </c>
      <c r="D38" t="e">
        <f ca="1">IF(B38="",NA(),IFERROR(INDEX(Норникель!$B$4:$G$23,$A38,D$6),NA()))</f>
        <v>#REF!</v>
      </c>
      <c r="E38" t="e">
        <f ca="1">IF(B38="",NA(),IFERROR(INDEX(Норникель!$B$4:$G$23,$A38,E$6),NA()))</f>
        <v>#REF!</v>
      </c>
      <c r="F38" t="e">
        <f ca="1">IF(B38="",NA(),IFERROR(INDEX(Норникель!$B$4:$G$23,$A38,F$6),NA()))</f>
        <v>#REF!</v>
      </c>
      <c r="G38" t="e">
        <f ca="1">IF(B38="",NA(),IFERROR(INDEX(Норникель!$B$4:$G$23,$A38,G$6),NA()))</f>
        <v>#REF!</v>
      </c>
    </row>
    <row r="39" spans="1:7" ht="19.5" customHeight="1">
      <c r="A39">
        <f>ROWS($B$15:B39)</f>
        <v>25</v>
      </c>
      <c r="B39" t="e">
        <f>IF(Норникель!#REF!=0,"",Норникель!#REF!)</f>
        <v>#REF!</v>
      </c>
      <c r="C39" t="e">
        <f ca="1">IF(B39="",NA(),IFERROR(INDEX(Норникель!$B$4:$G$23,$A39,C$6),NA()))</f>
        <v>#REF!</v>
      </c>
      <c r="D39" t="e">
        <f ca="1">IF(B39="",NA(),IFERROR(INDEX(Норникель!$B$4:$G$23,$A39,D$6),NA()))</f>
        <v>#REF!</v>
      </c>
      <c r="E39" t="e">
        <f ca="1">IF(B39="",NA(),IFERROR(INDEX(Норникель!$B$4:$G$23,$A39,E$6),NA()))</f>
        <v>#REF!</v>
      </c>
      <c r="F39" t="e">
        <f ca="1">IF(B39="",NA(),IFERROR(INDEX(Норникель!$B$4:$G$23,$A39,F$6),NA()))</f>
        <v>#REF!</v>
      </c>
      <c r="G39" t="e">
        <f ca="1">IF(B39="",NA(),IFERROR(INDEX(Норникель!$B$4:$G$23,$A39,G$6),NA()))</f>
        <v>#REF!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28EB7-F52A-AF43-9B37-5719E3FDFC50}">
  <dimension ref="A1:V108"/>
  <sheetViews>
    <sheetView tabSelected="1" topLeftCell="A79" workbookViewId="0">
      <selection activeCell="B97" sqref="B97"/>
    </sheetView>
  </sheetViews>
  <sheetFormatPr defaultColWidth="11.42578125" defaultRowHeight="15"/>
  <cols>
    <col min="1" max="1" width="25.7109375" customWidth="1"/>
    <col min="2" max="2" width="12.140625" bestFit="1" customWidth="1"/>
  </cols>
  <sheetData>
    <row r="1" spans="1:9">
      <c r="B1">
        <v>2021</v>
      </c>
      <c r="C1">
        <v>2022</v>
      </c>
      <c r="D1">
        <v>2023</v>
      </c>
      <c r="E1">
        <v>2024</v>
      </c>
    </row>
    <row r="2" spans="1:9" ht="15.95">
      <c r="A2" s="265" t="s">
        <v>106</v>
      </c>
      <c r="B2" s="350">
        <v>3026</v>
      </c>
      <c r="C2" s="346">
        <v>4945</v>
      </c>
      <c r="D2" s="346">
        <v>3817</v>
      </c>
      <c r="E2" s="351">
        <v>3114</v>
      </c>
    </row>
    <row r="3" spans="1:9" ht="15.95">
      <c r="A3" s="386" t="s">
        <v>320</v>
      </c>
      <c r="B3" s="387">
        <v>829</v>
      </c>
      <c r="C3" s="387">
        <v>730</v>
      </c>
      <c r="D3" s="387">
        <v>622</v>
      </c>
      <c r="E3" s="387">
        <v>535</v>
      </c>
    </row>
    <row r="4" spans="1:9" ht="15.95">
      <c r="A4" s="265" t="s">
        <v>160</v>
      </c>
      <c r="B4" s="350">
        <v>468</v>
      </c>
      <c r="C4" s="346">
        <v>846</v>
      </c>
      <c r="D4" s="346">
        <v>764</v>
      </c>
      <c r="E4" s="351">
        <v>1374</v>
      </c>
    </row>
    <row r="5" spans="1:9" ht="15.95">
      <c r="A5" s="265" t="s">
        <v>166</v>
      </c>
      <c r="B5" s="350">
        <v>5547</v>
      </c>
      <c r="C5" s="346">
        <v>1882</v>
      </c>
      <c r="D5" s="346">
        <v>2139</v>
      </c>
      <c r="E5" s="351">
        <v>1822</v>
      </c>
    </row>
    <row r="7" spans="1:9">
      <c r="B7" s="162">
        <v>2021</v>
      </c>
      <c r="C7" s="156">
        <v>2022</v>
      </c>
      <c r="D7" s="156">
        <v>2023</v>
      </c>
      <c r="E7" s="161">
        <v>2024</v>
      </c>
    </row>
    <row r="8" spans="1:9" ht="15.95">
      <c r="A8" s="476" t="s">
        <v>9</v>
      </c>
      <c r="B8">
        <v>0.84671532846715325</v>
      </c>
      <c r="C8">
        <v>0.44973338535570295</v>
      </c>
      <c r="D8">
        <v>0.3991620428037595</v>
      </c>
      <c r="E8">
        <v>0.63034296333840178</v>
      </c>
    </row>
    <row r="9" spans="1:9" ht="15.95">
      <c r="A9" s="476" t="s">
        <v>10</v>
      </c>
      <c r="B9">
        <v>1.1457926295223337</v>
      </c>
      <c r="C9">
        <v>0.79504715283276939</v>
      </c>
      <c r="D9">
        <v>0.71541081311196253</v>
      </c>
      <c r="E9">
        <v>0.67807486631016045</v>
      </c>
    </row>
    <row r="10" spans="1:9" ht="15.95">
      <c r="A10" s="476" t="s">
        <v>321</v>
      </c>
      <c r="B10">
        <v>0.90644258695190205</v>
      </c>
      <c r="C10">
        <v>1.0354823707735501</v>
      </c>
      <c r="D10">
        <v>0.96359104369500836</v>
      </c>
      <c r="E10">
        <v>0.74612536307398936</v>
      </c>
    </row>
    <row r="11" spans="1:9" ht="15.95">
      <c r="A11" s="476" t="s">
        <v>322</v>
      </c>
      <c r="B11">
        <v>1.9086719496431181</v>
      </c>
      <c r="C11">
        <v>2.1873153674564412</v>
      </c>
      <c r="D11">
        <v>2.4582390221819832</v>
      </c>
      <c r="E11">
        <v>1.4253740204227023</v>
      </c>
    </row>
    <row r="12" spans="1:9" ht="15.95">
      <c r="A12" s="476" t="s">
        <v>323</v>
      </c>
      <c r="B12">
        <v>1</v>
      </c>
      <c r="C12">
        <v>1</v>
      </c>
      <c r="D12">
        <v>1</v>
      </c>
      <c r="E12">
        <v>1</v>
      </c>
    </row>
    <row r="14" spans="1:9">
      <c r="B14" s="162">
        <v>2021</v>
      </c>
      <c r="C14" s="156">
        <v>2022</v>
      </c>
      <c r="D14" s="156">
        <v>2023</v>
      </c>
      <c r="E14" s="161">
        <v>2024</v>
      </c>
      <c r="F14" s="162">
        <v>2021</v>
      </c>
      <c r="G14" s="156">
        <v>2022</v>
      </c>
      <c r="H14" s="156">
        <v>2023</v>
      </c>
      <c r="I14" s="161">
        <v>2024</v>
      </c>
    </row>
    <row r="15" spans="1:9" ht="15.95">
      <c r="A15" s="477" t="s">
        <v>9</v>
      </c>
      <c r="B15" s="118">
        <v>17852</v>
      </c>
      <c r="C15" s="105">
        <v>16876</v>
      </c>
      <c r="D15" s="105">
        <v>14409</v>
      </c>
      <c r="E15" s="133">
        <v>12535</v>
      </c>
      <c r="F15" s="483">
        <f t="shared" ref="F15:I18" si="0">B15/$B15</f>
        <v>1</v>
      </c>
      <c r="G15" s="483">
        <f t="shared" si="0"/>
        <v>0.94532825453730673</v>
      </c>
      <c r="H15" s="483">
        <f t="shared" si="0"/>
        <v>0.80713645529912614</v>
      </c>
      <c r="I15" s="483">
        <f t="shared" si="0"/>
        <v>0.70216222272014339</v>
      </c>
    </row>
    <row r="16" spans="1:9" ht="15.95">
      <c r="A16" s="477" t="s">
        <v>10</v>
      </c>
      <c r="B16">
        <v>54502</v>
      </c>
      <c r="C16">
        <v>43839</v>
      </c>
      <c r="D16">
        <v>41784</v>
      </c>
      <c r="E16">
        <v>38056</v>
      </c>
      <c r="F16" s="483">
        <f t="shared" si="0"/>
        <v>1</v>
      </c>
      <c r="G16" s="483">
        <f t="shared" si="0"/>
        <v>0.80435580345675384</v>
      </c>
      <c r="H16" s="483">
        <f t="shared" si="0"/>
        <v>0.76665076510953722</v>
      </c>
      <c r="I16" s="483">
        <f t="shared" si="0"/>
        <v>0.69824960551906357</v>
      </c>
    </row>
    <row r="17" spans="1:9" ht="15.95">
      <c r="A17" s="477" t="s">
        <v>321</v>
      </c>
      <c r="B17">
        <v>13932.987012987012</v>
      </c>
      <c r="C17">
        <v>10781.208935611037</v>
      </c>
      <c r="D17">
        <v>7010.8610016882385</v>
      </c>
      <c r="E17">
        <v>5825.0668091929447</v>
      </c>
      <c r="F17" s="483">
        <f t="shared" si="0"/>
        <v>1</v>
      </c>
      <c r="G17" s="483">
        <f t="shared" si="0"/>
        <v>0.7737902092036556</v>
      </c>
      <c r="H17" s="483">
        <f t="shared" si="0"/>
        <v>0.50318434913872934</v>
      </c>
      <c r="I17" s="483">
        <f t="shared" si="0"/>
        <v>0.4180773874089862</v>
      </c>
    </row>
    <row r="18" spans="1:9" ht="15.95">
      <c r="A18" s="477" t="s">
        <v>322</v>
      </c>
      <c r="B18">
        <v>8413.9610389610389</v>
      </c>
      <c r="C18">
        <v>7774.7700394218127</v>
      </c>
      <c r="D18">
        <v>5998.5368598761961</v>
      </c>
      <c r="E18">
        <v>4617.7445216461783</v>
      </c>
      <c r="F18" s="483">
        <f t="shared" si="0"/>
        <v>1</v>
      </c>
      <c r="G18" s="483">
        <f t="shared" si="0"/>
        <v>0.92403209420872789</v>
      </c>
      <c r="H18" s="483">
        <f t="shared" si="0"/>
        <v>0.71292662660307482</v>
      </c>
      <c r="I18" s="483">
        <f t="shared" si="0"/>
        <v>0.54881933732086552</v>
      </c>
    </row>
    <row r="36" spans="1:22" s="95" customFormat="1" ht="18.95">
      <c r="A36" s="478" t="s">
        <v>38</v>
      </c>
      <c r="B36" s="126"/>
      <c r="C36" s="111"/>
      <c r="D36" s="111"/>
      <c r="E36" s="140"/>
      <c r="F36" s="167"/>
      <c r="G36" s="151"/>
      <c r="H36" s="112"/>
      <c r="I36" s="112"/>
      <c r="J36" s="152"/>
      <c r="K36" s="167"/>
      <c r="L36" s="151"/>
      <c r="M36" s="112"/>
      <c r="N36" s="112"/>
      <c r="O36" s="152"/>
      <c r="P36" s="167"/>
      <c r="Q36" s="151"/>
      <c r="R36" s="112"/>
      <c r="S36" s="112"/>
      <c r="T36" s="152"/>
      <c r="U36" s="300"/>
      <c r="V36" s="303"/>
    </row>
    <row r="37" spans="1:22" s="95" customFormat="1" hidden="1">
      <c r="A37" s="123" t="s">
        <v>40</v>
      </c>
      <c r="B37" s="118">
        <v>9536</v>
      </c>
      <c r="C37" s="105">
        <v>7581</v>
      </c>
      <c r="D37" s="105">
        <v>5540</v>
      </c>
      <c r="E37" s="133">
        <v>3574</v>
      </c>
      <c r="F37" s="104"/>
      <c r="G37" s="118">
        <v>27693</v>
      </c>
      <c r="H37" s="105">
        <v>17208</v>
      </c>
      <c r="I37" s="105">
        <v>14205</v>
      </c>
      <c r="J37" s="133">
        <v>10788</v>
      </c>
      <c r="K37" s="104"/>
      <c r="L37" s="118">
        <v>6825.454545454545</v>
      </c>
      <c r="M37" s="105">
        <v>4632.8515111695133</v>
      </c>
      <c r="N37" s="105">
        <v>1182.4985931344963</v>
      </c>
      <c r="O37" s="133">
        <v>973.70390165686797</v>
      </c>
      <c r="P37" s="104"/>
      <c r="Q37" s="118">
        <v>3471.1038961038962</v>
      </c>
      <c r="R37" s="105">
        <v>2712.549277266754</v>
      </c>
      <c r="S37" s="105">
        <v>1257.0624648283624</v>
      </c>
      <c r="T37" s="133">
        <v>292.19668626402989</v>
      </c>
      <c r="U37" s="118"/>
      <c r="V37" s="303"/>
    </row>
    <row r="38" spans="1:22" s="95" customFormat="1" hidden="1">
      <c r="A38" s="123" t="s">
        <v>41</v>
      </c>
      <c r="B38" s="118">
        <v>23435</v>
      </c>
      <c r="C38" s="104">
        <v>25795</v>
      </c>
      <c r="D38" s="104">
        <v>23580</v>
      </c>
      <c r="E38" s="133">
        <v>23170</v>
      </c>
      <c r="F38" s="104"/>
      <c r="G38" s="118">
        <v>89442</v>
      </c>
      <c r="H38" s="104">
        <v>86894</v>
      </c>
      <c r="I38" s="104">
        <v>94186</v>
      </c>
      <c r="J38" s="133">
        <v>80152</v>
      </c>
      <c r="K38" s="104"/>
      <c r="L38" s="118">
        <v>12580.237430167597</v>
      </c>
      <c r="M38" s="104">
        <v>10873.632452366319</v>
      </c>
      <c r="N38" s="104">
        <v>8976.9230769230762</v>
      </c>
      <c r="O38" s="133">
        <v>9397.6360637713024</v>
      </c>
      <c r="P38" s="104"/>
      <c r="Q38" s="118">
        <v>8832.0530726256984</v>
      </c>
      <c r="R38" s="104">
        <v>9593.5464044253222</v>
      </c>
      <c r="S38" s="104">
        <v>8985.9946949602108</v>
      </c>
      <c r="T38" s="133">
        <v>7309.2358438702577</v>
      </c>
      <c r="U38" s="118"/>
      <c r="V38" s="303"/>
    </row>
    <row r="39" spans="1:22" s="95" customFormat="1" hidden="1">
      <c r="A39" s="123" t="s">
        <v>16</v>
      </c>
      <c r="B39" s="118">
        <v>8083</v>
      </c>
      <c r="C39" s="104">
        <v>7689</v>
      </c>
      <c r="D39" s="104">
        <v>8831</v>
      </c>
      <c r="E39" s="133">
        <v>5919</v>
      </c>
      <c r="F39" s="104"/>
      <c r="G39" s="118">
        <v>15198</v>
      </c>
      <c r="H39" s="104">
        <v>13891</v>
      </c>
      <c r="I39" s="104">
        <v>14655</v>
      </c>
      <c r="J39" s="133">
        <v>1309</v>
      </c>
      <c r="K39" s="104"/>
      <c r="L39" s="118">
        <v>3943.2960893854747</v>
      </c>
      <c r="M39" s="104">
        <v>3568.3466502765827</v>
      </c>
      <c r="N39" s="104">
        <v>2490.132625994695</v>
      </c>
      <c r="O39" s="133">
        <v>2479.4392523364486</v>
      </c>
      <c r="P39" s="104"/>
      <c r="Q39" s="118">
        <v>1242.5279329608938</v>
      </c>
      <c r="R39" s="104">
        <v>1019.4837123540259</v>
      </c>
      <c r="S39" s="104">
        <v>937.50663129973464</v>
      </c>
      <c r="T39" s="133">
        <v>926.00329851566789</v>
      </c>
      <c r="U39" s="118"/>
      <c r="V39" s="303"/>
    </row>
    <row r="40" spans="1:22" s="95" customFormat="1" hidden="1">
      <c r="A40" s="123" t="s">
        <v>42</v>
      </c>
      <c r="B40" s="118">
        <v>15352</v>
      </c>
      <c r="C40" s="104">
        <v>18106</v>
      </c>
      <c r="D40" s="104">
        <v>14749</v>
      </c>
      <c r="E40" s="133">
        <v>17251</v>
      </c>
      <c r="F40" s="104"/>
      <c r="G40" s="118">
        <v>74244</v>
      </c>
      <c r="H40" s="104">
        <v>73003</v>
      </c>
      <c r="I40" s="104">
        <v>79531</v>
      </c>
      <c r="J40" s="133">
        <v>78843</v>
      </c>
      <c r="K40" s="104"/>
      <c r="L40" s="118">
        <v>8636.941340782123</v>
      </c>
      <c r="M40" s="104">
        <v>7305.2858020897365</v>
      </c>
      <c r="N40" s="104">
        <v>6486.7904509283817</v>
      </c>
      <c r="O40" s="133">
        <v>6918.1968114348538</v>
      </c>
      <c r="P40" s="104"/>
      <c r="Q40" s="118">
        <v>7589.5251396648046</v>
      </c>
      <c r="R40" s="104">
        <v>8574.0626920712966</v>
      </c>
      <c r="S40" s="104">
        <v>8048.4880636604757</v>
      </c>
      <c r="T40" s="133">
        <v>6383.23254535459</v>
      </c>
      <c r="U40" s="118"/>
      <c r="V40" s="303"/>
    </row>
    <row r="41" spans="1:22" s="95" customFormat="1" ht="15.95">
      <c r="A41" s="175" t="s">
        <v>43</v>
      </c>
      <c r="B41" s="127">
        <v>0.62115685252735797</v>
      </c>
      <c r="C41" s="99">
        <v>0.41870098309952503</v>
      </c>
      <c r="D41" s="99">
        <v>0.375618686012611</v>
      </c>
      <c r="E41" s="141">
        <v>0.20717639557127124</v>
      </c>
      <c r="F41" s="168"/>
      <c r="G41" s="127">
        <v>0.37299983837077744</v>
      </c>
      <c r="H41" s="99">
        <v>0.23571634042436612</v>
      </c>
      <c r="I41" s="99">
        <v>0.17860959877280558</v>
      </c>
      <c r="J41" s="141">
        <v>0.13682888778965793</v>
      </c>
      <c r="K41" s="168"/>
      <c r="L41" s="127">
        <v>0.79026292713439483</v>
      </c>
      <c r="M41" s="99">
        <v>0.63417799613592785</v>
      </c>
      <c r="N41" s="99">
        <v>0.18229332396042769</v>
      </c>
      <c r="O41" s="141">
        <v>0.14074533121802282</v>
      </c>
      <c r="P41" s="168"/>
      <c r="Q41" s="127">
        <v>0.45735455542047249</v>
      </c>
      <c r="R41" s="99">
        <v>0.31636685835935546</v>
      </c>
      <c r="S41" s="99">
        <v>0.15618616252959278</v>
      </c>
      <c r="T41" s="141">
        <v>4.577566055879894E-2</v>
      </c>
      <c r="U41" s="301"/>
      <c r="V41" s="303"/>
    </row>
    <row r="42" spans="1:22" s="95" customFormat="1" hidden="1">
      <c r="A42" s="123" t="s">
        <v>79</v>
      </c>
      <c r="B42" s="118">
        <v>12042</v>
      </c>
      <c r="C42" s="104">
        <v>9963</v>
      </c>
      <c r="D42" s="104">
        <v>7377</v>
      </c>
      <c r="E42" s="133">
        <v>5647</v>
      </c>
      <c r="F42" s="104"/>
      <c r="G42" s="118">
        <v>32773</v>
      </c>
      <c r="H42" s="104">
        <v>19811</v>
      </c>
      <c r="I42" s="104">
        <v>17695</v>
      </c>
      <c r="J42" s="133">
        <v>13791</v>
      </c>
      <c r="K42" s="104"/>
      <c r="L42" s="118">
        <v>6825.454545454545</v>
      </c>
      <c r="M42" s="104">
        <v>4632.8515111695133</v>
      </c>
      <c r="N42" s="104">
        <v>1182.4985931344963</v>
      </c>
      <c r="O42" s="133">
        <v>973.70390165686797</v>
      </c>
      <c r="P42" s="104"/>
      <c r="Q42" s="118">
        <v>3471.1038961038962</v>
      </c>
      <c r="R42" s="104">
        <v>2712.549277266754</v>
      </c>
      <c r="S42" s="104">
        <v>1257.0624648283624</v>
      </c>
      <c r="T42" s="133">
        <v>292.19668626402989</v>
      </c>
      <c r="U42" s="118"/>
      <c r="V42" s="303"/>
    </row>
    <row r="43" spans="1:22" s="95" customFormat="1" hidden="1">
      <c r="A43" s="123" t="s">
        <v>27</v>
      </c>
      <c r="B43" s="118">
        <v>17852</v>
      </c>
      <c r="C43" s="104">
        <v>16876</v>
      </c>
      <c r="D43" s="104">
        <v>14409</v>
      </c>
      <c r="E43" s="133">
        <v>12535</v>
      </c>
      <c r="F43" s="104"/>
      <c r="G43" s="118">
        <v>54502</v>
      </c>
      <c r="H43" s="104">
        <v>43839</v>
      </c>
      <c r="I43" s="104">
        <v>41784</v>
      </c>
      <c r="J43" s="133">
        <v>38056</v>
      </c>
      <c r="K43" s="104"/>
      <c r="L43" s="118">
        <v>13932.987012987012</v>
      </c>
      <c r="M43" s="104">
        <v>10781.208935611037</v>
      </c>
      <c r="N43" s="104">
        <v>7010.8610016882385</v>
      </c>
      <c r="O43" s="133">
        <v>5825.0668091929447</v>
      </c>
      <c r="P43" s="104"/>
      <c r="Q43" s="118">
        <v>8413.9610389610389</v>
      </c>
      <c r="R43" s="104">
        <v>7774.7700394218127</v>
      </c>
      <c r="S43" s="104">
        <v>5998.5368598761961</v>
      </c>
      <c r="T43" s="133">
        <v>4617.7445216461783</v>
      </c>
      <c r="U43" s="118"/>
      <c r="V43" s="303"/>
    </row>
    <row r="44" spans="1:22" s="95" customFormat="1" ht="15.95">
      <c r="A44" s="175" t="s">
        <v>44</v>
      </c>
      <c r="B44" s="127">
        <v>0.67454626932556572</v>
      </c>
      <c r="C44" s="99">
        <v>0.59036501540649444</v>
      </c>
      <c r="D44" s="99">
        <v>0.51197168436393925</v>
      </c>
      <c r="E44" s="141">
        <v>0.45049860390905466</v>
      </c>
      <c r="F44" s="168"/>
      <c r="G44" s="127">
        <v>0.6013173828483358</v>
      </c>
      <c r="H44" s="99">
        <v>0.45190355619425626</v>
      </c>
      <c r="I44" s="99">
        <v>0.42348745931457016</v>
      </c>
      <c r="J44" s="141">
        <v>0.36238700861887746</v>
      </c>
      <c r="K44" s="168"/>
      <c r="L44" s="127">
        <v>0.48987733492412661</v>
      </c>
      <c r="M44" s="99">
        <v>0.429715400085319</v>
      </c>
      <c r="N44" s="99">
        <v>0.16866667201785154</v>
      </c>
      <c r="O44" s="141">
        <v>0.16715755090056614</v>
      </c>
      <c r="P44" s="168"/>
      <c r="Q44" s="127">
        <v>0.41254099942118466</v>
      </c>
      <c r="R44" s="99">
        <v>0.34889125511273367</v>
      </c>
      <c r="S44" s="99">
        <v>0.20956151378126348</v>
      </c>
      <c r="T44" s="141">
        <v>6.3276927706659866E-2</v>
      </c>
      <c r="U44" s="301"/>
      <c r="V44" s="303"/>
    </row>
    <row r="45" spans="1:22" s="95" customFormat="1" hidden="1">
      <c r="A45" s="123" t="s">
        <v>45</v>
      </c>
      <c r="B45" s="118">
        <v>6974</v>
      </c>
      <c r="C45" s="104">
        <v>5854</v>
      </c>
      <c r="D45" s="104">
        <v>2870</v>
      </c>
      <c r="E45" s="133">
        <v>1815</v>
      </c>
      <c r="F45" s="104"/>
      <c r="G45" s="118">
        <v>24844</v>
      </c>
      <c r="H45" s="104">
        <v>16810</v>
      </c>
      <c r="I45" s="104">
        <v>8105</v>
      </c>
      <c r="J45" s="133">
        <v>6166</v>
      </c>
      <c r="K45" s="104"/>
      <c r="L45" s="118">
        <v>5131.2337662337659</v>
      </c>
      <c r="M45" s="104">
        <v>3238.8961892247044</v>
      </c>
      <c r="N45" s="104">
        <v>756.66854248733819</v>
      </c>
      <c r="O45" s="133">
        <v>395.13629075360768</v>
      </c>
      <c r="P45" s="104"/>
      <c r="Q45" s="118">
        <v>3107.4675324675322</v>
      </c>
      <c r="R45" s="104">
        <v>2177.3324572930355</v>
      </c>
      <c r="S45" s="104">
        <v>347.66460326392797</v>
      </c>
      <c r="T45" s="133">
        <v>-916.67557455905933</v>
      </c>
      <c r="U45" s="118"/>
      <c r="V45" s="303"/>
    </row>
    <row r="46" spans="1:22" s="95" customFormat="1" hidden="1">
      <c r="A46" s="123" t="s">
        <v>27</v>
      </c>
      <c r="B46" s="118">
        <v>17852</v>
      </c>
      <c r="C46" s="104">
        <v>16876</v>
      </c>
      <c r="D46" s="104">
        <v>14409</v>
      </c>
      <c r="E46" s="133">
        <v>12535</v>
      </c>
      <c r="F46" s="104"/>
      <c r="G46" s="118">
        <v>54502</v>
      </c>
      <c r="H46" s="104">
        <v>43839</v>
      </c>
      <c r="I46" s="104">
        <v>41784</v>
      </c>
      <c r="J46" s="133">
        <v>38056</v>
      </c>
      <c r="K46" s="104"/>
      <c r="L46" s="118">
        <v>13932.987012987012</v>
      </c>
      <c r="M46" s="104">
        <v>10781.208935611037</v>
      </c>
      <c r="N46" s="104">
        <v>7010.8610016882385</v>
      </c>
      <c r="O46" s="133">
        <v>5825.0668091929447</v>
      </c>
      <c r="P46" s="104"/>
      <c r="Q46" s="118">
        <v>8413.9610389610389</v>
      </c>
      <c r="R46" s="104">
        <v>7774.7700394218127</v>
      </c>
      <c r="S46" s="104">
        <v>5998.5368598761961</v>
      </c>
      <c r="T46" s="133">
        <v>4617.7445216461783</v>
      </c>
      <c r="U46" s="118"/>
      <c r="V46" s="303"/>
    </row>
    <row r="47" spans="1:22" s="95" customFormat="1" ht="15.95">
      <c r="A47" s="175" t="s">
        <v>46</v>
      </c>
      <c r="B47" s="127">
        <v>0.39065650907461347</v>
      </c>
      <c r="C47" s="99">
        <v>0.34688314766532352</v>
      </c>
      <c r="D47" s="99">
        <v>0.19918106738843777</v>
      </c>
      <c r="E47" s="141">
        <v>0.14479457518946948</v>
      </c>
      <c r="F47" s="168"/>
      <c r="G47" s="127">
        <v>0.45583648306484165</v>
      </c>
      <c r="H47" s="99">
        <v>0.38344852756677844</v>
      </c>
      <c r="I47" s="99">
        <v>0.19397376986406281</v>
      </c>
      <c r="J47" s="141">
        <v>0.16202438511667017</v>
      </c>
      <c r="K47" s="168"/>
      <c r="L47" s="127">
        <v>0.36827951977927742</v>
      </c>
      <c r="M47" s="99">
        <v>0.3004205009446036</v>
      </c>
      <c r="N47" s="99">
        <v>0.10792804796802132</v>
      </c>
      <c r="O47" s="141">
        <v>6.7833778340536027E-2</v>
      </c>
      <c r="P47" s="168"/>
      <c r="Q47" s="127">
        <v>0.36932278603125601</v>
      </c>
      <c r="R47" s="99">
        <v>0.28005104282865162</v>
      </c>
      <c r="S47" s="99">
        <v>5.795823404694448E-2</v>
      </c>
      <c r="T47" s="141">
        <v>-0.19851153961897267</v>
      </c>
      <c r="U47" s="301"/>
      <c r="V47" s="303"/>
    </row>
    <row r="48" spans="1:22" s="95" customFormat="1" hidden="1">
      <c r="A48" s="123" t="s">
        <v>45</v>
      </c>
      <c r="B48" s="118">
        <v>6974</v>
      </c>
      <c r="C48" s="104">
        <v>5854</v>
      </c>
      <c r="D48" s="104">
        <v>2870</v>
      </c>
      <c r="E48" s="133">
        <v>1815</v>
      </c>
      <c r="F48" s="104"/>
      <c r="G48" s="118">
        <v>24844</v>
      </c>
      <c r="H48" s="104">
        <v>16810</v>
      </c>
      <c r="I48" s="104">
        <v>8105</v>
      </c>
      <c r="J48" s="133">
        <v>6166</v>
      </c>
      <c r="K48" s="104"/>
      <c r="L48" s="118">
        <v>5131.2337662337659</v>
      </c>
      <c r="M48" s="104">
        <v>3238.8961892247044</v>
      </c>
      <c r="N48" s="104">
        <v>756.66854248733819</v>
      </c>
      <c r="O48" s="133">
        <v>395.13629075360768</v>
      </c>
      <c r="P48" s="104"/>
      <c r="Q48" s="118">
        <v>3107.4675324675322</v>
      </c>
      <c r="R48" s="104">
        <v>2177.3324572930355</v>
      </c>
      <c r="S48" s="104">
        <v>347.66460326392797</v>
      </c>
      <c r="T48" s="133">
        <v>-916.67557455905933</v>
      </c>
      <c r="U48" s="118"/>
      <c r="V48" s="303"/>
    </row>
    <row r="49" spans="1:22" s="95" customFormat="1" hidden="1">
      <c r="A49" s="123" t="s">
        <v>47</v>
      </c>
      <c r="B49" s="118">
        <v>4788</v>
      </c>
      <c r="C49" s="104">
        <v>8567</v>
      </c>
      <c r="D49" s="104">
        <v>7595</v>
      </c>
      <c r="E49" s="133">
        <v>8097</v>
      </c>
      <c r="F49" s="104"/>
      <c r="G49" s="118">
        <v>35306</v>
      </c>
      <c r="H49" s="104">
        <v>37358</v>
      </c>
      <c r="I49" s="104">
        <v>40981</v>
      </c>
      <c r="J49" s="133">
        <v>34528</v>
      </c>
      <c r="K49" s="104"/>
      <c r="L49" s="118">
        <v>7147.3463687150834</v>
      </c>
      <c r="M49" s="104">
        <v>5959.5574677320219</v>
      </c>
      <c r="N49" s="104">
        <v>5306.8965517241377</v>
      </c>
      <c r="O49" s="133">
        <v>5613.6888400219896</v>
      </c>
      <c r="P49" s="104"/>
      <c r="Q49" s="118">
        <v>1479.6787709497207</v>
      </c>
      <c r="R49" s="104">
        <v>1418.5617701290719</v>
      </c>
      <c r="S49" s="104">
        <v>1369.708222811671</v>
      </c>
      <c r="T49" s="133">
        <v>1709.5107201759208</v>
      </c>
      <c r="U49" s="118"/>
      <c r="V49" s="303"/>
    </row>
    <row r="50" spans="1:22" s="95" customFormat="1" ht="15.95">
      <c r="A50" s="175" t="s">
        <v>48</v>
      </c>
      <c r="B50" s="127">
        <v>1.4565580618212197</v>
      </c>
      <c r="C50" s="99">
        <v>0.68331971518617951</v>
      </c>
      <c r="D50" s="99">
        <v>0.37788018433179721</v>
      </c>
      <c r="E50" s="141">
        <v>0.22415709522045202</v>
      </c>
      <c r="F50" s="168"/>
      <c r="G50" s="127">
        <v>0.70367642893559168</v>
      </c>
      <c r="H50" s="99">
        <v>0.44997055516890627</v>
      </c>
      <c r="I50" s="99">
        <v>0.19777457846319027</v>
      </c>
      <c r="J50" s="141">
        <v>0.17857970342910101</v>
      </c>
      <c r="K50" s="168"/>
      <c r="L50" s="127">
        <v>0.71792151961375217</v>
      </c>
      <c r="M50" s="99">
        <v>0.54347931146929662</v>
      </c>
      <c r="N50" s="99">
        <v>0.14258211651808192</v>
      </c>
      <c r="O50" s="141">
        <v>7.0387992996074192E-2</v>
      </c>
      <c r="P50" s="168"/>
      <c r="Q50" s="127">
        <v>2.1000960434628846</v>
      </c>
      <c r="R50" s="99">
        <v>1.5348873084990333</v>
      </c>
      <c r="S50" s="99">
        <v>0.25382384180351841</v>
      </c>
      <c r="T50" s="141">
        <v>-0.53622101560423496</v>
      </c>
      <c r="U50" s="301"/>
      <c r="V50" s="303"/>
    </row>
    <row r="51" spans="1:22" s="95" customFormat="1" hidden="1">
      <c r="A51" s="157" t="s">
        <v>45</v>
      </c>
      <c r="B51" s="118">
        <v>6974</v>
      </c>
      <c r="C51" s="104">
        <v>5854</v>
      </c>
      <c r="D51" s="104">
        <v>2870</v>
      </c>
      <c r="E51" s="133">
        <v>1815</v>
      </c>
      <c r="F51" s="104"/>
      <c r="G51" s="118">
        <v>24844</v>
      </c>
      <c r="H51" s="104">
        <v>16810</v>
      </c>
      <c r="I51" s="104">
        <v>8105</v>
      </c>
      <c r="J51" s="133">
        <v>6166</v>
      </c>
      <c r="K51" s="104"/>
      <c r="L51" s="118">
        <v>5131.2337662337659</v>
      </c>
      <c r="M51" s="104">
        <v>3238.8961892247044</v>
      </c>
      <c r="N51" s="104">
        <v>756.66854248733819</v>
      </c>
      <c r="O51" s="133">
        <v>395.13629075360768</v>
      </c>
      <c r="P51" s="104"/>
      <c r="Q51" s="118">
        <v>3107.4675324675322</v>
      </c>
      <c r="R51" s="104">
        <v>2177.3324572930355</v>
      </c>
      <c r="S51" s="104">
        <v>347.66460326392797</v>
      </c>
      <c r="T51" s="133">
        <v>-916.67557455905933</v>
      </c>
      <c r="U51" s="118"/>
      <c r="V51" s="303"/>
    </row>
    <row r="52" spans="1:22" s="95" customFormat="1" hidden="1">
      <c r="A52" s="157" t="s">
        <v>41</v>
      </c>
      <c r="B52" s="118">
        <v>23435</v>
      </c>
      <c r="C52" s="104">
        <v>0</v>
      </c>
      <c r="D52" s="104">
        <v>23580</v>
      </c>
      <c r="E52" s="133">
        <v>23170</v>
      </c>
      <c r="F52" s="104"/>
      <c r="G52" s="118">
        <v>89442</v>
      </c>
      <c r="H52" s="104">
        <v>86894</v>
      </c>
      <c r="I52" s="104">
        <v>94186</v>
      </c>
      <c r="J52" s="133">
        <v>80152</v>
      </c>
      <c r="K52" s="104"/>
      <c r="L52" s="118">
        <v>12580.237430167597</v>
      </c>
      <c r="M52" s="104">
        <v>10873.632452366319</v>
      </c>
      <c r="N52" s="104">
        <v>8976.9230769230762</v>
      </c>
      <c r="O52" s="133">
        <v>9397.6360637713024</v>
      </c>
      <c r="P52" s="104"/>
      <c r="Q52" s="118">
        <v>8832.0530726256984</v>
      </c>
      <c r="R52" s="104">
        <v>9593.5464044253222</v>
      </c>
      <c r="S52" s="104">
        <v>8985.9946949602108</v>
      </c>
      <c r="T52" s="133">
        <v>7309.2358438702577</v>
      </c>
      <c r="U52" s="118"/>
      <c r="V52" s="303"/>
    </row>
    <row r="53" spans="1:22" s="95" customFormat="1" hidden="1">
      <c r="A53" s="157" t="s">
        <v>49</v>
      </c>
      <c r="B53" s="118"/>
      <c r="C53" s="104">
        <v>11717.5</v>
      </c>
      <c r="D53" s="104">
        <v>11790</v>
      </c>
      <c r="E53" s="133">
        <v>23375</v>
      </c>
      <c r="F53" s="104"/>
      <c r="G53" s="118"/>
      <c r="H53" s="104">
        <v>88168</v>
      </c>
      <c r="I53" s="104">
        <v>90540</v>
      </c>
      <c r="J53" s="133">
        <v>87169</v>
      </c>
      <c r="K53" s="104"/>
      <c r="L53" s="118"/>
      <c r="M53" s="104">
        <v>11726.934941266958</v>
      </c>
      <c r="N53" s="104">
        <v>9925.2777646446975</v>
      </c>
      <c r="O53" s="133">
        <v>9187.2795703471893</v>
      </c>
      <c r="P53" s="104"/>
      <c r="Q53" s="118"/>
      <c r="R53" s="104">
        <v>9212.7997385255112</v>
      </c>
      <c r="S53" s="104">
        <v>9289.7705496927665</v>
      </c>
      <c r="T53" s="133">
        <v>8147.6152694152343</v>
      </c>
      <c r="U53" s="118"/>
      <c r="V53" s="303"/>
    </row>
    <row r="54" spans="1:22" s="95" customFormat="1" ht="15.95">
      <c r="A54" s="175" t="s">
        <v>50</v>
      </c>
      <c r="B54" s="127"/>
      <c r="C54" s="99">
        <v>0.49959462342649885</v>
      </c>
      <c r="D54" s="99">
        <v>0.24342663273960985</v>
      </c>
      <c r="E54" s="141">
        <v>7.7647058823529416E-2</v>
      </c>
      <c r="F54" s="168"/>
      <c r="G54" s="127"/>
      <c r="H54" s="99">
        <v>0.19065874240087105</v>
      </c>
      <c r="I54" s="99">
        <v>8.9518444886238127E-2</v>
      </c>
      <c r="J54" s="141">
        <v>7.0736156202319628E-2</v>
      </c>
      <c r="K54" s="168"/>
      <c r="L54" s="127"/>
      <c r="M54" s="99">
        <v>0.27619290167860178</v>
      </c>
      <c r="N54" s="99">
        <v>7.6236510496734217E-2</v>
      </c>
      <c r="O54" s="141">
        <v>4.3009063534862627E-2</v>
      </c>
      <c r="P54" s="168"/>
      <c r="Q54" s="127"/>
      <c r="R54" s="99">
        <v>0.23633776040827226</v>
      </c>
      <c r="S54" s="99">
        <v>3.7424455362401389E-2</v>
      </c>
      <c r="T54" s="141">
        <v>-0.11250845115381232</v>
      </c>
      <c r="U54" s="301"/>
      <c r="V54" s="303"/>
    </row>
    <row r="55" spans="1:22" s="95" customFormat="1" hidden="1">
      <c r="A55" s="157" t="s">
        <v>27</v>
      </c>
      <c r="B55" s="118">
        <v>17852</v>
      </c>
      <c r="C55" s="104">
        <v>16876</v>
      </c>
      <c r="D55" s="104">
        <v>14409</v>
      </c>
      <c r="E55" s="133">
        <v>12535</v>
      </c>
      <c r="F55" s="104"/>
      <c r="G55" s="118">
        <v>54502</v>
      </c>
      <c r="H55" s="104">
        <v>43839</v>
      </c>
      <c r="I55" s="104">
        <v>41784</v>
      </c>
      <c r="J55" s="133">
        <v>38056</v>
      </c>
      <c r="K55" s="104"/>
      <c r="L55" s="118">
        <v>13932.987012987012</v>
      </c>
      <c r="M55" s="104">
        <v>10781.208935611037</v>
      </c>
      <c r="N55" s="104">
        <v>7010.8610016882385</v>
      </c>
      <c r="O55" s="133">
        <v>5825.0668091929447</v>
      </c>
      <c r="P55" s="104"/>
      <c r="Q55" s="118">
        <v>8413.9610389610389</v>
      </c>
      <c r="R55" s="104">
        <v>7774.7700394218127</v>
      </c>
      <c r="S55" s="104">
        <v>5998.5368598761961</v>
      </c>
      <c r="T55" s="133">
        <v>4617.7445216461783</v>
      </c>
      <c r="U55" s="118"/>
      <c r="V55" s="303"/>
    </row>
    <row r="56" spans="1:22" s="95" customFormat="1" hidden="1">
      <c r="A56" s="157" t="s">
        <v>41</v>
      </c>
      <c r="B56" s="118">
        <v>23435</v>
      </c>
      <c r="C56" s="104">
        <v>25795</v>
      </c>
      <c r="D56" s="104">
        <v>23580</v>
      </c>
      <c r="E56" s="133">
        <v>23170</v>
      </c>
      <c r="F56" s="104"/>
      <c r="G56" s="118">
        <v>89442</v>
      </c>
      <c r="H56" s="104">
        <v>86894</v>
      </c>
      <c r="I56" s="104">
        <v>94186</v>
      </c>
      <c r="J56" s="133">
        <v>80152</v>
      </c>
      <c r="K56" s="104"/>
      <c r="L56" s="118">
        <v>12580.237430167597</v>
      </c>
      <c r="M56" s="104">
        <v>10873.632452366319</v>
      </c>
      <c r="N56" s="104">
        <v>8976.9230769230762</v>
      </c>
      <c r="O56" s="133">
        <v>9397.6360637713024</v>
      </c>
      <c r="P56" s="104"/>
      <c r="Q56" s="118">
        <v>8832.0530726256984</v>
      </c>
      <c r="R56" s="104">
        <v>9593.5464044253222</v>
      </c>
      <c r="S56" s="104">
        <v>8985.9946949602108</v>
      </c>
      <c r="T56" s="133">
        <v>7309.2358438702577</v>
      </c>
      <c r="U56" s="118"/>
      <c r="V56" s="303"/>
    </row>
    <row r="57" spans="1:22" s="95" customFormat="1" hidden="1">
      <c r="A57" s="157" t="s">
        <v>49</v>
      </c>
      <c r="B57" s="118"/>
      <c r="C57" s="104">
        <v>24615</v>
      </c>
      <c r="D57" s="104">
        <v>24687.5</v>
      </c>
      <c r="E57" s="133">
        <v>23375</v>
      </c>
      <c r="F57" s="104"/>
      <c r="G57" s="118"/>
      <c r="H57" s="104">
        <v>88168</v>
      </c>
      <c r="I57" s="104">
        <v>90540</v>
      </c>
      <c r="J57" s="133">
        <v>87169</v>
      </c>
      <c r="K57" s="104"/>
      <c r="L57" s="118"/>
      <c r="M57" s="104">
        <v>11726.934941266958</v>
      </c>
      <c r="N57" s="104">
        <v>9925.2777646446975</v>
      </c>
      <c r="O57" s="133">
        <v>9187.2795703471893</v>
      </c>
      <c r="P57" s="104"/>
      <c r="Q57" s="118"/>
      <c r="R57" s="104">
        <v>9212.7997385255112</v>
      </c>
      <c r="S57" s="104">
        <v>9289.7705496927665</v>
      </c>
      <c r="T57" s="133">
        <v>8147.6152694152343</v>
      </c>
      <c r="U57" s="118"/>
      <c r="V57" s="303"/>
    </row>
    <row r="58" spans="1:22" s="95" customFormat="1" ht="15.95">
      <c r="A58" s="175" t="s">
        <v>51</v>
      </c>
      <c r="B58" s="127"/>
      <c r="C58" s="99">
        <v>0.68559821247206987</v>
      </c>
      <c r="D58" s="99">
        <v>0.58365569620253166</v>
      </c>
      <c r="E58" s="141">
        <v>0.53625668449197861</v>
      </c>
      <c r="F58" s="168"/>
      <c r="G58" s="127"/>
      <c r="H58" s="99">
        <v>0.49722121404591235</v>
      </c>
      <c r="I58" s="99">
        <v>0.46149768058316765</v>
      </c>
      <c r="J58" s="141">
        <v>0.43657722355424522</v>
      </c>
      <c r="K58" s="168"/>
      <c r="L58" s="127"/>
      <c r="M58" s="99">
        <v>0.91935437431925016</v>
      </c>
      <c r="N58" s="99">
        <v>0.70636421145430905</v>
      </c>
      <c r="O58" s="141">
        <v>0.63403608920249876</v>
      </c>
      <c r="P58" s="168"/>
      <c r="Q58" s="127"/>
      <c r="R58" s="99">
        <v>0.84390958884189837</v>
      </c>
      <c r="S58" s="99">
        <v>0.64571421089346293</v>
      </c>
      <c r="T58" s="141">
        <v>0.56676025670731023</v>
      </c>
      <c r="U58" s="301"/>
      <c r="V58" s="303"/>
    </row>
    <row r="62" spans="1:22" ht="15.95">
      <c r="A62" s="175" t="s">
        <v>43</v>
      </c>
    </row>
    <row r="63" spans="1:22">
      <c r="B63" s="162">
        <v>2021</v>
      </c>
      <c r="C63" s="156">
        <v>2022</v>
      </c>
      <c r="D63" s="156">
        <v>2023</v>
      </c>
      <c r="E63" s="161">
        <v>2024</v>
      </c>
    </row>
    <row r="64" spans="1:22" ht="15.95">
      <c r="A64" s="476" t="s">
        <v>9</v>
      </c>
      <c r="B64">
        <v>0.62115685252735797</v>
      </c>
      <c r="C64">
        <v>0.41870098309952503</v>
      </c>
      <c r="D64">
        <v>0.375618686012611</v>
      </c>
      <c r="E64">
        <v>0.20717639557127124</v>
      </c>
    </row>
    <row r="65" spans="1:5" ht="15.95">
      <c r="A65" s="476" t="s">
        <v>10</v>
      </c>
      <c r="B65">
        <v>0.37299983837077744</v>
      </c>
      <c r="C65">
        <v>0.23571634042436612</v>
      </c>
      <c r="D65">
        <v>0.17860959877280558</v>
      </c>
      <c r="E65">
        <v>0.13682888778965793</v>
      </c>
    </row>
    <row r="66" spans="1:5" ht="15.95">
      <c r="A66" s="476" t="s">
        <v>321</v>
      </c>
      <c r="B66">
        <v>0.79026292713439483</v>
      </c>
      <c r="C66">
        <v>0.63417799613592785</v>
      </c>
      <c r="D66">
        <v>0.18229332396042769</v>
      </c>
      <c r="E66">
        <v>0.14074533121802282</v>
      </c>
    </row>
    <row r="67" spans="1:5" ht="15.95">
      <c r="A67" s="476" t="s">
        <v>322</v>
      </c>
      <c r="B67">
        <v>0.45735455542047249</v>
      </c>
      <c r="C67">
        <v>0.31636685835935546</v>
      </c>
      <c r="D67">
        <v>0.15618616252959278</v>
      </c>
      <c r="E67">
        <v>4.577566055879894E-2</v>
      </c>
    </row>
    <row r="68" spans="1:5" ht="15.95">
      <c r="A68" s="476" t="s">
        <v>323</v>
      </c>
    </row>
    <row r="70" spans="1:5" ht="15.95">
      <c r="A70" s="479" t="s">
        <v>44</v>
      </c>
    </row>
    <row r="71" spans="1:5">
      <c r="B71" s="162">
        <v>2021</v>
      </c>
      <c r="C71" s="156">
        <v>2022</v>
      </c>
      <c r="D71" s="156">
        <v>2023</v>
      </c>
      <c r="E71" s="161">
        <v>2024</v>
      </c>
    </row>
    <row r="72" spans="1:5" ht="15.95">
      <c r="A72" s="477" t="s">
        <v>9</v>
      </c>
      <c r="B72" s="480">
        <v>0.67454626932556572</v>
      </c>
      <c r="C72" s="481">
        <v>0.59036501540649444</v>
      </c>
      <c r="D72" s="481">
        <v>0.51197168436393925</v>
      </c>
      <c r="E72" s="482">
        <v>0.45049860390905466</v>
      </c>
    </row>
    <row r="73" spans="1:5" ht="15.95">
      <c r="A73" s="477" t="s">
        <v>10</v>
      </c>
      <c r="B73" s="480">
        <v>0.6013173828483358</v>
      </c>
      <c r="C73" s="481">
        <v>0.45190355619425626</v>
      </c>
      <c r="D73" s="481">
        <v>0.42348745931457016</v>
      </c>
      <c r="E73" s="482">
        <v>0.36238700861887746</v>
      </c>
    </row>
    <row r="74" spans="1:5" ht="15.95">
      <c r="A74" s="477" t="s">
        <v>321</v>
      </c>
      <c r="B74" s="480">
        <v>0.48987733492412661</v>
      </c>
      <c r="C74" s="481">
        <v>0.429715400085319</v>
      </c>
      <c r="D74" s="481">
        <v>0.16866667201785154</v>
      </c>
      <c r="E74" s="482">
        <v>0.16715755090056614</v>
      </c>
    </row>
    <row r="75" spans="1:5" ht="15.95">
      <c r="A75" s="477" t="s">
        <v>322</v>
      </c>
      <c r="B75" s="480">
        <v>0.41254099942118466</v>
      </c>
      <c r="C75" s="481">
        <v>0.34889125511273367</v>
      </c>
      <c r="D75" s="481">
        <v>0.20956151378126348</v>
      </c>
      <c r="E75" s="482">
        <v>6.3276927706659866E-2</v>
      </c>
    </row>
    <row r="76" spans="1:5" ht="15.95">
      <c r="A76" s="477" t="s">
        <v>323</v>
      </c>
      <c r="B76" s="480">
        <v>0.2</v>
      </c>
      <c r="C76" s="480">
        <v>0.2</v>
      </c>
      <c r="D76" s="480">
        <v>0.2</v>
      </c>
      <c r="E76" s="480">
        <v>0.2</v>
      </c>
    </row>
    <row r="78" spans="1:5" ht="15.95">
      <c r="A78" s="175" t="s">
        <v>46</v>
      </c>
    </row>
    <row r="79" spans="1:5">
      <c r="B79" s="162">
        <v>2021</v>
      </c>
      <c r="C79" s="156">
        <v>2022</v>
      </c>
      <c r="D79" s="156">
        <v>2023</v>
      </c>
      <c r="E79" s="161">
        <v>2024</v>
      </c>
    </row>
    <row r="80" spans="1:5" ht="15.95">
      <c r="A80" s="477" t="s">
        <v>9</v>
      </c>
      <c r="B80" s="127">
        <v>0.39065650907461347</v>
      </c>
      <c r="C80" s="99">
        <v>0.34688314766532352</v>
      </c>
      <c r="D80" s="99">
        <v>0.19918106738843777</v>
      </c>
      <c r="E80" s="141">
        <v>0.14479457518946948</v>
      </c>
    </row>
    <row r="81" spans="1:5" ht="15.95">
      <c r="A81" s="477" t="s">
        <v>10</v>
      </c>
      <c r="B81" s="127">
        <v>0.45583648306484165</v>
      </c>
      <c r="C81" s="99">
        <v>0.38344852756677844</v>
      </c>
      <c r="D81" s="99">
        <v>0.19397376986406281</v>
      </c>
      <c r="E81" s="141">
        <v>0.16202438511667017</v>
      </c>
    </row>
    <row r="82" spans="1:5" ht="15.95">
      <c r="A82" s="477" t="s">
        <v>321</v>
      </c>
      <c r="B82" s="127">
        <v>0.36827951977927742</v>
      </c>
      <c r="C82" s="99">
        <v>0.3004205009446036</v>
      </c>
      <c r="D82" s="99">
        <v>0.10792804796802132</v>
      </c>
      <c r="E82" s="141">
        <v>6.7833778340536027E-2</v>
      </c>
    </row>
    <row r="83" spans="1:5" ht="15.95">
      <c r="A83" s="477" t="s">
        <v>322</v>
      </c>
      <c r="B83" s="127">
        <v>0.36932278603125601</v>
      </c>
      <c r="C83" s="99">
        <v>0.28005104282865162</v>
      </c>
      <c r="D83" s="99">
        <v>5.795823404694448E-2</v>
      </c>
      <c r="E83" s="141">
        <v>-0.19851153961897267</v>
      </c>
    </row>
    <row r="84" spans="1:5" ht="15.95">
      <c r="A84" s="477" t="s">
        <v>323</v>
      </c>
      <c r="B84" s="127">
        <v>0.15</v>
      </c>
      <c r="C84" s="127">
        <v>0.15</v>
      </c>
      <c r="D84" s="127">
        <v>0.15</v>
      </c>
      <c r="E84" s="127">
        <v>0.15</v>
      </c>
    </row>
    <row r="86" spans="1:5" ht="15.95">
      <c r="A86" s="175" t="s">
        <v>48</v>
      </c>
    </row>
    <row r="87" spans="1:5">
      <c r="B87" s="162">
        <v>2021</v>
      </c>
      <c r="C87" s="156">
        <v>2022</v>
      </c>
      <c r="D87" s="156">
        <v>2023</v>
      </c>
      <c r="E87" s="161">
        <v>2024</v>
      </c>
    </row>
    <row r="88" spans="1:5" ht="15.95">
      <c r="A88" s="477" t="s">
        <v>9</v>
      </c>
      <c r="B88" s="127">
        <v>1.4565580618212197</v>
      </c>
      <c r="C88" s="99">
        <v>0.68331971518617951</v>
      </c>
      <c r="D88" s="99">
        <v>0.37788018433179721</v>
      </c>
      <c r="E88" s="141">
        <v>0.22415709522045202</v>
      </c>
    </row>
    <row r="89" spans="1:5" ht="15.95">
      <c r="A89" s="477" t="s">
        <v>10</v>
      </c>
      <c r="B89" s="127">
        <v>0.70367642893559168</v>
      </c>
      <c r="C89" s="99">
        <v>0.44997055516890627</v>
      </c>
      <c r="D89" s="99">
        <v>0.19777457846319027</v>
      </c>
      <c r="E89" s="141">
        <v>0.17857970342910101</v>
      </c>
    </row>
    <row r="90" spans="1:5" ht="15.95">
      <c r="A90" s="477" t="s">
        <v>321</v>
      </c>
      <c r="B90" s="127">
        <v>0.71792151961375217</v>
      </c>
      <c r="C90" s="99">
        <v>0.54347931146929662</v>
      </c>
      <c r="D90" s="99">
        <v>0.14258211651808192</v>
      </c>
      <c r="E90" s="141">
        <v>7.0387992996074192E-2</v>
      </c>
    </row>
    <row r="91" spans="1:5" ht="15.95">
      <c r="A91" s="477" t="s">
        <v>322</v>
      </c>
      <c r="B91" s="127">
        <v>2.1000960434628846</v>
      </c>
      <c r="C91" s="99">
        <v>1.5348873084990333</v>
      </c>
      <c r="D91" s="99">
        <v>0.25382384180351841</v>
      </c>
      <c r="E91" s="141">
        <v>-0.53622101560423496</v>
      </c>
    </row>
    <row r="92" spans="1:5" ht="15.95">
      <c r="A92" s="477" t="s">
        <v>323</v>
      </c>
      <c r="B92" s="127">
        <v>0.12</v>
      </c>
      <c r="C92" s="127">
        <v>0.12</v>
      </c>
      <c r="D92" s="127">
        <v>0.12</v>
      </c>
      <c r="E92" s="127">
        <v>0.12</v>
      </c>
    </row>
    <row r="94" spans="1:5" ht="15.95">
      <c r="A94" s="175" t="s">
        <v>50</v>
      </c>
    </row>
    <row r="95" spans="1:5">
      <c r="B95" s="156">
        <v>2022</v>
      </c>
      <c r="C95" s="156">
        <v>2023</v>
      </c>
      <c r="D95" s="161">
        <v>2024</v>
      </c>
    </row>
    <row r="96" spans="1:5" ht="15.95">
      <c r="A96" s="477" t="s">
        <v>9</v>
      </c>
      <c r="B96" s="99">
        <v>0.25</v>
      </c>
      <c r="C96" s="99">
        <v>0.24342663273960985</v>
      </c>
      <c r="D96" s="141">
        <v>7.7647058823529416E-2</v>
      </c>
    </row>
    <row r="97" spans="1:4" ht="15.95">
      <c r="A97" s="477" t="s">
        <v>10</v>
      </c>
      <c r="B97" s="99">
        <v>0.49722121404591235</v>
      </c>
      <c r="C97" s="99">
        <v>0.46149768058316765</v>
      </c>
      <c r="D97" s="141">
        <v>0.43657722355424522</v>
      </c>
    </row>
    <row r="98" spans="1:4" ht="15.95">
      <c r="A98" s="477" t="s">
        <v>321</v>
      </c>
      <c r="B98" s="99">
        <v>0.91935437431925016</v>
      </c>
      <c r="C98" s="99">
        <v>0.70636421145430905</v>
      </c>
      <c r="D98" s="141">
        <v>0.63403608920249876</v>
      </c>
    </row>
    <row r="99" spans="1:4" ht="15.95">
      <c r="A99" s="477" t="s">
        <v>322</v>
      </c>
      <c r="B99" s="99">
        <v>0.23633776040827226</v>
      </c>
      <c r="C99" s="99">
        <v>3.7424455362401389E-2</v>
      </c>
      <c r="D99" s="141">
        <v>-0.11250845115381232</v>
      </c>
    </row>
    <row r="100" spans="1:4" ht="15.95">
      <c r="A100" s="477" t="s">
        <v>323</v>
      </c>
      <c r="B100" s="99">
        <v>0.05</v>
      </c>
      <c r="C100" s="99">
        <v>0.05</v>
      </c>
      <c r="D100" s="99">
        <v>0.05</v>
      </c>
    </row>
    <row r="102" spans="1:4" ht="15.95">
      <c r="A102" s="175" t="s">
        <v>51</v>
      </c>
    </row>
    <row r="103" spans="1:4">
      <c r="B103" s="156">
        <v>2022</v>
      </c>
      <c r="C103" s="156">
        <v>2023</v>
      </c>
      <c r="D103" s="161">
        <v>2024</v>
      </c>
    </row>
    <row r="104" spans="1:4" ht="15.95">
      <c r="A104" s="477" t="s">
        <v>9</v>
      </c>
      <c r="B104" s="99">
        <v>0.68559821247206987</v>
      </c>
      <c r="C104" s="99">
        <v>0.58365569620253166</v>
      </c>
      <c r="D104" s="141">
        <v>0.53625668449197861</v>
      </c>
    </row>
    <row r="105" spans="1:4" ht="15.95">
      <c r="A105" s="477" t="s">
        <v>10</v>
      </c>
      <c r="B105" s="99">
        <v>0.19065874240087105</v>
      </c>
      <c r="C105" s="99">
        <v>8.9518444886238127E-2</v>
      </c>
      <c r="D105" s="141">
        <v>7.0736156202319628E-2</v>
      </c>
    </row>
    <row r="106" spans="1:4" ht="15.95">
      <c r="A106" s="477" t="s">
        <v>321</v>
      </c>
      <c r="B106" s="99">
        <v>0.27619290167860178</v>
      </c>
      <c r="C106" s="99">
        <v>7.6236510496734217E-2</v>
      </c>
      <c r="D106" s="141">
        <v>4.3009063534862627E-2</v>
      </c>
    </row>
    <row r="107" spans="1:4" ht="15.95">
      <c r="A107" s="477" t="s">
        <v>322</v>
      </c>
      <c r="B107" s="99">
        <v>0.84390958884189837</v>
      </c>
      <c r="C107" s="99">
        <v>0.64571421089346293</v>
      </c>
      <c r="D107" s="141">
        <v>0.56676025670731023</v>
      </c>
    </row>
    <row r="108" spans="1:4" ht="15.95">
      <c r="A108" s="477" t="s">
        <v>323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74A1C555-8BB2-2645-A08E-BD0F2CD1290B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'Построение графиков'!Q55:T55</xm:f>
              <xm:sqref>U55</xm:sqref>
            </x14:sparkline>
            <x14:sparkline>
              <xm:f>'Построение графиков'!Q56:T56</xm:f>
              <xm:sqref>U56</xm:sqref>
            </x14:sparkline>
            <x14:sparkline>
              <xm:f>'Построение графиков'!Q57:T57</xm:f>
              <xm:sqref>U57</xm:sqref>
            </x14:sparkline>
            <x14:sparkline>
              <xm:f>'Построение графиков'!Q58:T58</xm:f>
              <xm:sqref>U58</xm:sqref>
            </x14:sparkline>
          </x14:sparklines>
        </x14:sparklineGroup>
        <x14:sparklineGroup displayEmptyCellsAs="gap" markers="1" xr2:uid="{76D2958A-EC2F-3B40-87AE-C64F3E542AE4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'Построение графиков'!B55:E55</xm:f>
              <xm:sqref>F55</xm:sqref>
            </x14:sparkline>
            <x14:sparkline>
              <xm:f>'Построение графиков'!B56:E56</xm:f>
              <xm:sqref>F56</xm:sqref>
            </x14:sparkline>
            <x14:sparkline>
              <xm:f>'Построение графиков'!B57:E57</xm:f>
              <xm:sqref>F57</xm:sqref>
            </x14:sparkline>
            <x14:sparkline>
              <xm:f>'Построение графиков'!B58:E58</xm:f>
              <xm:sqref>F58</xm:sqref>
            </x14:sparkline>
          </x14:sparklines>
        </x14:sparklineGroup>
        <x14:sparklineGroup displayEmptyCellsAs="gap" markers="1" xr2:uid="{28D5CE4C-7EF6-CC49-A973-7837D58427EE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'Построение графиков'!G55:J55</xm:f>
              <xm:sqref>K55</xm:sqref>
            </x14:sparkline>
            <x14:sparkline>
              <xm:f>'Построение графиков'!G56:J56</xm:f>
              <xm:sqref>K56</xm:sqref>
            </x14:sparkline>
            <x14:sparkline>
              <xm:f>'Построение графиков'!G57:J57</xm:f>
              <xm:sqref>K57</xm:sqref>
            </x14:sparkline>
            <x14:sparkline>
              <xm:f>'Построение графиков'!G58:J58</xm:f>
              <xm:sqref>K58</xm:sqref>
            </x14:sparkline>
          </x14:sparklines>
        </x14:sparklineGroup>
        <x14:sparklineGroup displayEmptyCellsAs="gap" markers="1" xr2:uid="{546A1730-F1E7-754D-9AA8-032335B53EEF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'Построение графиков'!L55:O55</xm:f>
              <xm:sqref>P55</xm:sqref>
            </x14:sparkline>
            <x14:sparkline>
              <xm:f>'Построение графиков'!L56:O56</xm:f>
              <xm:sqref>P56</xm:sqref>
            </x14:sparkline>
            <x14:sparkline>
              <xm:f>'Построение графиков'!L57:O57</xm:f>
              <xm:sqref>P57</xm:sqref>
            </x14:sparkline>
            <x14:sparkline>
              <xm:f>'Построение графиков'!L58:O58</xm:f>
              <xm:sqref>P58</xm:sqref>
            </x14:sparkline>
          </x14:sparklines>
        </x14:sparklineGroup>
        <x14:sparklineGroup displayEmptyCellsAs="gap" markers="1" xr2:uid="{1C6971FE-EC1E-9C49-B3F6-562CBA762F7E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'Построение графиков'!L36:O36</xm:f>
              <xm:sqref>P36</xm:sqref>
            </x14:sparkline>
            <x14:sparkline>
              <xm:f>'Построение графиков'!L37:O37</xm:f>
              <xm:sqref>P37</xm:sqref>
            </x14:sparkline>
            <x14:sparkline>
              <xm:f>'Построение графиков'!L38:O38</xm:f>
              <xm:sqref>P38</xm:sqref>
            </x14:sparkline>
            <x14:sparkline>
              <xm:f>'Построение графиков'!L39:O39</xm:f>
              <xm:sqref>P39</xm:sqref>
            </x14:sparkline>
            <x14:sparkline>
              <xm:f>'Построение графиков'!L40:O40</xm:f>
              <xm:sqref>P40</xm:sqref>
            </x14:sparkline>
            <x14:sparkline>
              <xm:f>'Построение графиков'!L41:O41</xm:f>
              <xm:sqref>P41</xm:sqref>
            </x14:sparkline>
            <x14:sparkline>
              <xm:f>'Построение графиков'!L42:O42</xm:f>
              <xm:sqref>P42</xm:sqref>
            </x14:sparkline>
            <x14:sparkline>
              <xm:f>'Построение графиков'!L43:O43</xm:f>
              <xm:sqref>P43</xm:sqref>
            </x14:sparkline>
            <x14:sparkline>
              <xm:f>'Построение графиков'!L44:O44</xm:f>
              <xm:sqref>P44</xm:sqref>
            </x14:sparkline>
            <x14:sparkline>
              <xm:f>'Построение графиков'!L45:O45</xm:f>
              <xm:sqref>P45</xm:sqref>
            </x14:sparkline>
            <x14:sparkline>
              <xm:f>'Построение графиков'!L46:O46</xm:f>
              <xm:sqref>P46</xm:sqref>
            </x14:sparkline>
            <x14:sparkline>
              <xm:f>'Построение графиков'!L47:O47</xm:f>
              <xm:sqref>P47</xm:sqref>
            </x14:sparkline>
            <x14:sparkline>
              <xm:f>'Построение графиков'!L48:O48</xm:f>
              <xm:sqref>P48</xm:sqref>
            </x14:sparkline>
            <x14:sparkline>
              <xm:f>'Построение графиков'!L49:O49</xm:f>
              <xm:sqref>P49</xm:sqref>
            </x14:sparkline>
            <x14:sparkline>
              <xm:f>'Построение графиков'!L50:O50</xm:f>
              <xm:sqref>P50</xm:sqref>
            </x14:sparkline>
            <x14:sparkline>
              <xm:f>'Построение графиков'!L51:O51</xm:f>
              <xm:sqref>P51</xm:sqref>
            </x14:sparkline>
            <x14:sparkline>
              <xm:f>'Построение графиков'!L52:O52</xm:f>
              <xm:sqref>P52</xm:sqref>
            </x14:sparkline>
            <x14:sparkline>
              <xm:f>'Построение графиков'!L53:O53</xm:f>
              <xm:sqref>P53</xm:sqref>
            </x14:sparkline>
            <x14:sparkline>
              <xm:f>'Построение графиков'!L54:O54</xm:f>
              <xm:sqref>P54</xm:sqref>
            </x14:sparkline>
          </x14:sparklines>
        </x14:sparklineGroup>
        <x14:sparklineGroup displayEmptyCellsAs="gap" markers="1" xr2:uid="{606A53F5-E9D0-AA43-95B4-60D8A071BBB6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'Построение графиков'!G36:J36</xm:f>
              <xm:sqref>K36</xm:sqref>
            </x14:sparkline>
            <x14:sparkline>
              <xm:f>'Построение графиков'!G37:J37</xm:f>
              <xm:sqref>K37</xm:sqref>
            </x14:sparkline>
            <x14:sparkline>
              <xm:f>'Построение графиков'!G38:J38</xm:f>
              <xm:sqref>K38</xm:sqref>
            </x14:sparkline>
            <x14:sparkline>
              <xm:f>'Построение графиков'!G39:J39</xm:f>
              <xm:sqref>K39</xm:sqref>
            </x14:sparkline>
            <x14:sparkline>
              <xm:f>'Построение графиков'!G40:J40</xm:f>
              <xm:sqref>K40</xm:sqref>
            </x14:sparkline>
            <x14:sparkline>
              <xm:f>'Построение графиков'!G41:J41</xm:f>
              <xm:sqref>K41</xm:sqref>
            </x14:sparkline>
            <x14:sparkline>
              <xm:f>'Построение графиков'!G42:J42</xm:f>
              <xm:sqref>K42</xm:sqref>
            </x14:sparkline>
            <x14:sparkline>
              <xm:f>'Построение графиков'!G43:J43</xm:f>
              <xm:sqref>K43</xm:sqref>
            </x14:sparkline>
            <x14:sparkline>
              <xm:f>'Построение графиков'!G44:J44</xm:f>
              <xm:sqref>K44</xm:sqref>
            </x14:sparkline>
            <x14:sparkline>
              <xm:f>'Построение графиков'!G45:J45</xm:f>
              <xm:sqref>K45</xm:sqref>
            </x14:sparkline>
            <x14:sparkline>
              <xm:f>'Построение графиков'!G46:J46</xm:f>
              <xm:sqref>K46</xm:sqref>
            </x14:sparkline>
            <x14:sparkline>
              <xm:f>'Построение графиков'!G47:J47</xm:f>
              <xm:sqref>K47</xm:sqref>
            </x14:sparkline>
            <x14:sparkline>
              <xm:f>'Построение графиков'!G48:J48</xm:f>
              <xm:sqref>K48</xm:sqref>
            </x14:sparkline>
            <x14:sparkline>
              <xm:f>'Построение графиков'!G49:J49</xm:f>
              <xm:sqref>K49</xm:sqref>
            </x14:sparkline>
            <x14:sparkline>
              <xm:f>'Построение графиков'!G50:J50</xm:f>
              <xm:sqref>K50</xm:sqref>
            </x14:sparkline>
            <x14:sparkline>
              <xm:f>'Построение графиков'!G51:J51</xm:f>
              <xm:sqref>K51</xm:sqref>
            </x14:sparkline>
            <x14:sparkline>
              <xm:f>'Построение графиков'!G52:J52</xm:f>
              <xm:sqref>K52</xm:sqref>
            </x14:sparkline>
            <x14:sparkline>
              <xm:f>'Построение графиков'!G53:J53</xm:f>
              <xm:sqref>K53</xm:sqref>
            </x14:sparkline>
            <x14:sparkline>
              <xm:f>'Построение графиков'!G54:J54</xm:f>
              <xm:sqref>K54</xm:sqref>
            </x14:sparkline>
          </x14:sparklines>
        </x14:sparklineGroup>
        <x14:sparklineGroup displayEmptyCellsAs="gap" markers="1" xr2:uid="{3A1673C6-D2E2-1C48-9872-9782EAD0D9F8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'Построение графиков'!B36:E36</xm:f>
              <xm:sqref>F36</xm:sqref>
            </x14:sparkline>
            <x14:sparkline>
              <xm:f>'Построение графиков'!B37:E37</xm:f>
              <xm:sqref>F37</xm:sqref>
            </x14:sparkline>
            <x14:sparkline>
              <xm:f>'Построение графиков'!B38:E38</xm:f>
              <xm:sqref>F38</xm:sqref>
            </x14:sparkline>
            <x14:sparkline>
              <xm:f>'Построение графиков'!B39:E39</xm:f>
              <xm:sqref>F39</xm:sqref>
            </x14:sparkline>
            <x14:sparkline>
              <xm:f>'Построение графиков'!B40:E40</xm:f>
              <xm:sqref>F40</xm:sqref>
            </x14:sparkline>
            <x14:sparkline>
              <xm:f>'Построение графиков'!B41:E41</xm:f>
              <xm:sqref>F41</xm:sqref>
            </x14:sparkline>
            <x14:sparkline>
              <xm:f>'Построение графиков'!B42:E42</xm:f>
              <xm:sqref>F42</xm:sqref>
            </x14:sparkline>
            <x14:sparkline>
              <xm:f>'Построение графиков'!B43:E43</xm:f>
              <xm:sqref>F43</xm:sqref>
            </x14:sparkline>
            <x14:sparkline>
              <xm:f>'Построение графиков'!B44:E44</xm:f>
              <xm:sqref>F44</xm:sqref>
            </x14:sparkline>
            <x14:sparkline>
              <xm:f>'Построение графиков'!B45:E45</xm:f>
              <xm:sqref>F45</xm:sqref>
            </x14:sparkline>
            <x14:sparkline>
              <xm:f>'Построение графиков'!B46:E46</xm:f>
              <xm:sqref>F46</xm:sqref>
            </x14:sparkline>
            <x14:sparkline>
              <xm:f>'Построение графиков'!B47:E47</xm:f>
              <xm:sqref>F47</xm:sqref>
            </x14:sparkline>
            <x14:sparkline>
              <xm:f>'Построение графиков'!B48:E48</xm:f>
              <xm:sqref>F48</xm:sqref>
            </x14:sparkline>
            <x14:sparkline>
              <xm:f>'Построение графиков'!B49:E49</xm:f>
              <xm:sqref>F49</xm:sqref>
            </x14:sparkline>
            <x14:sparkline>
              <xm:f>'Построение графиков'!B50:E50</xm:f>
              <xm:sqref>F50</xm:sqref>
            </x14:sparkline>
            <x14:sparkline>
              <xm:f>'Построение графиков'!B51:E51</xm:f>
              <xm:sqref>F51</xm:sqref>
            </x14:sparkline>
            <x14:sparkline>
              <xm:f>'Построение графиков'!B52:E52</xm:f>
              <xm:sqref>F52</xm:sqref>
            </x14:sparkline>
            <x14:sparkline>
              <xm:f>'Построение графиков'!B53:E53</xm:f>
              <xm:sqref>F53</xm:sqref>
            </x14:sparkline>
            <x14:sparkline>
              <xm:f>'Построение графиков'!B54:E54</xm:f>
              <xm:sqref>F54</xm:sqref>
            </x14:sparkline>
          </x14:sparklines>
        </x14:sparklineGroup>
        <x14:sparklineGroup displayEmptyCellsAs="gap" markers="1" xr2:uid="{827083E4-77BE-484F-AC15-C2FD6C5E18C9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'Построение графиков'!Q36:T36</xm:f>
              <xm:sqref>U36</xm:sqref>
            </x14:sparkline>
            <x14:sparkline>
              <xm:f>'Построение графиков'!Q37:T37</xm:f>
              <xm:sqref>U37</xm:sqref>
            </x14:sparkline>
            <x14:sparkline>
              <xm:f>'Построение графиков'!Q38:T38</xm:f>
              <xm:sqref>U38</xm:sqref>
            </x14:sparkline>
            <x14:sparkline>
              <xm:f>'Построение графиков'!Q39:T39</xm:f>
              <xm:sqref>U39</xm:sqref>
            </x14:sparkline>
            <x14:sparkline>
              <xm:f>'Построение графиков'!Q40:T40</xm:f>
              <xm:sqref>U40</xm:sqref>
            </x14:sparkline>
            <x14:sparkline>
              <xm:f>'Построение графиков'!Q41:T41</xm:f>
              <xm:sqref>U41</xm:sqref>
            </x14:sparkline>
            <x14:sparkline>
              <xm:f>'Построение графиков'!Q42:T42</xm:f>
              <xm:sqref>U42</xm:sqref>
            </x14:sparkline>
            <x14:sparkline>
              <xm:f>'Построение графиков'!Q43:T43</xm:f>
              <xm:sqref>U43</xm:sqref>
            </x14:sparkline>
            <x14:sparkline>
              <xm:f>'Построение графиков'!Q44:T44</xm:f>
              <xm:sqref>U44</xm:sqref>
            </x14:sparkline>
            <x14:sparkline>
              <xm:f>'Построение графиков'!Q45:T45</xm:f>
              <xm:sqref>U45</xm:sqref>
            </x14:sparkline>
            <x14:sparkline>
              <xm:f>'Построение графиков'!Q46:T46</xm:f>
              <xm:sqref>U46</xm:sqref>
            </x14:sparkline>
            <x14:sparkline>
              <xm:f>'Построение графиков'!Q47:T47</xm:f>
              <xm:sqref>U47</xm:sqref>
            </x14:sparkline>
            <x14:sparkline>
              <xm:f>'Построение графиков'!Q48:T48</xm:f>
              <xm:sqref>U48</xm:sqref>
            </x14:sparkline>
            <x14:sparkline>
              <xm:f>'Построение графиков'!Q49:T49</xm:f>
              <xm:sqref>U49</xm:sqref>
            </x14:sparkline>
            <x14:sparkline>
              <xm:f>'Построение графиков'!Q50:T50</xm:f>
              <xm:sqref>U50</xm:sqref>
            </x14:sparkline>
            <x14:sparkline>
              <xm:f>'Построение графиков'!Q51:T51</xm:f>
              <xm:sqref>U51</xm:sqref>
            </x14:sparkline>
            <x14:sparkline>
              <xm:f>'Построение графиков'!Q52:T52</xm:f>
              <xm:sqref>U52</xm:sqref>
            </x14:sparkline>
            <x14:sparkline>
              <xm:f>'Построение графиков'!Q53:T53</xm:f>
              <xm:sqref>U53</xm:sqref>
            </x14:sparkline>
            <x14:sparkline>
              <xm:f>'Построение графиков'!Q54:T54</xm:f>
              <xm:sqref>U54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TM10000072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2012-11-20T10:03:28Z</dcterms:created>
  <dcterms:modified xsi:type="dcterms:W3CDTF">2026-03-13T10:48:02Z</dcterms:modified>
  <cp:category/>
  <cp:contentStatus/>
</cp:coreProperties>
</file>